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kri\Documents\proyek_data_analisis\sales_stock_analysis\documentation\tables\"/>
    </mc:Choice>
  </mc:AlternateContent>
  <xr:revisionPtr revIDLastSave="0" documentId="13_ncr:1_{3E3A950E-4888-4FC4-B54F-748D53998024}" xr6:coauthVersionLast="47" xr6:coauthVersionMax="47" xr10:uidLastSave="{00000000-0000-0000-0000-000000000000}"/>
  <bookViews>
    <workbookView xWindow="-120" yWindow="-120" windowWidth="20730" windowHeight="11160" firstSheet="4" activeTab="7" xr2:uid="{FA3D5668-96B6-4583-ADC0-A647FDA0D4EE}"/>
  </bookViews>
  <sheets>
    <sheet name="Total Gross Revenue" sheetId="2" r:id="rId1"/>
    <sheet name="Monthly Sales Trend" sheetId="3" r:id="rId2"/>
    <sheet name="Top Selling Products" sheetId="4" r:id="rId3"/>
    <sheet name="Inventory Value" sheetId="5" r:id="rId4"/>
    <sheet name="Reorder Alert" sheetId="6" r:id="rId5"/>
    <sheet name="Inventory Turnover" sheetId="8" r:id="rId6"/>
    <sheet name="Pivot" sheetId="1" r:id="rId7"/>
    <sheet name="Dashboard" sheetId="14" r:id="rId8"/>
  </sheets>
  <definedNames>
    <definedName name="ExternalData_1" localSheetId="5" hidden="1">'Inventory Turnover'!$A$1:$D$73</definedName>
    <definedName name="ExternalData_1" localSheetId="3" hidden="1">'Inventory Value'!$A$1:$A$2</definedName>
    <definedName name="ExternalData_1" localSheetId="1" hidden="1">'Monthly Sales Trend'!$A$1:$B$24</definedName>
    <definedName name="ExternalData_1" localSheetId="4" hidden="1">'Reorder Alert'!$A$1:$C$18</definedName>
    <definedName name="ExternalData_1" localSheetId="2" hidden="1">'Top Selling Products'!$A$1:$B$11</definedName>
    <definedName name="ExternalData_1" localSheetId="0" hidden="1">'Total Gross Revenue'!$A$1:$A$2</definedName>
  </definedNames>
  <calcPr calcId="191029"/>
  <pivotCaches>
    <pivotCache cacheId="4" r:id="rId9"/>
    <pivotCache cacheId="8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4EB2D-EAF2-4BE9-A3BF-957EF76B1320}" keepAlive="1" name="Query - Inventory Turnover" description="Connection to the 'Inventory Turnover' query in the workbook." type="5" refreshedVersion="8" background="1" saveData="1">
    <dbPr connection="Provider=Microsoft.Mashup.OleDb.1;Data Source=$Workbook$;Location=&quot;Inventory Turnover&quot;;Extended Properties=&quot;&quot;" command="SELECT * FROM [Inventory Turnover]"/>
  </connection>
  <connection id="2" xr16:uid="{89CC6244-51E7-4AD3-861C-0791FABC3B01}" keepAlive="1" name="Query - Inventory Value" description="Connection to the 'Inventory Value' query in the workbook." type="5" refreshedVersion="8" background="1" saveData="1">
    <dbPr connection="Provider=Microsoft.Mashup.OleDb.1;Data Source=$Workbook$;Location=&quot;Inventory Value&quot;;Extended Properties=&quot;&quot;" command="SELECT * FROM [Inventory Value]"/>
  </connection>
  <connection id="3" xr16:uid="{2A9129AF-56EA-4CE0-A7D7-A2C0F56FD7CA}" keepAlive="1" name="Query - Monthly Sales Trend" description="Connection to the 'Monthly Sales Trend' query in the workbook." type="5" refreshedVersion="8" background="1" saveData="1">
    <dbPr connection="Provider=Microsoft.Mashup.OleDb.1;Data Source=$Workbook$;Location=&quot;Monthly Sales Trend&quot;;Extended Properties=&quot;&quot;" command="SELECT * FROM [Monthly Sales Trend]"/>
  </connection>
  <connection id="4" xr16:uid="{6A7478EB-9564-4EEE-9D7A-704F22E9143F}" keepAlive="1" name="Query - Reorder Alert" description="Connection to the 'Reorder Alert' query in the workbook." type="5" refreshedVersion="8" background="1" saveData="1">
    <dbPr connection="Provider=Microsoft.Mashup.OleDb.1;Data Source=$Workbook$;Location=&quot;Reorder Alert&quot;;Extended Properties=&quot;&quot;" command="SELECT * FROM [Reorder Alert]"/>
  </connection>
  <connection id="5" xr16:uid="{84966602-DB28-4FA9-9EB2-FF41F9D050F4}" keepAlive="1" name="Query - Top Selling Products" description="Connection to the 'Top Selling Products' query in the workbook." type="5" refreshedVersion="8" background="1" saveData="1">
    <dbPr connection="Provider=Microsoft.Mashup.OleDb.1;Data Source=$Workbook$;Location=&quot;Top Selling Products&quot;;Extended Properties=&quot;&quot;" command="SELECT * FROM [Top Selling Products]"/>
  </connection>
  <connection id="6" xr16:uid="{7D7E10BE-5E96-4A8D-8FC2-4F293B6A2DDD}" keepAlive="1" name="Query - Total Gross Revenue" description="Connection to the 'Total Gross Revenue' query in the workbook." type="5" refreshedVersion="8" background="1" saveData="1">
    <dbPr connection="Provider=Microsoft.Mashup.OleDb.1;Data Source=$Workbook$;Location=&quot;Total Gross Revenue&quot;;Extended Properties=&quot;&quot;" command="SELECT * FROM [Total Gross Revenue]"/>
  </connection>
</connections>
</file>

<file path=xl/sharedStrings.xml><?xml version="1.0" encoding="utf-8"?>
<sst xmlns="http://schemas.openxmlformats.org/spreadsheetml/2006/main" count="146" uniqueCount="93">
  <si>
    <t>total_gross_revenue</t>
  </si>
  <si>
    <t>month</t>
  </si>
  <si>
    <t>net_revenue</t>
  </si>
  <si>
    <t>product_name</t>
  </si>
  <si>
    <t>total_sold</t>
  </si>
  <si>
    <t>Camembert Pierrot</t>
  </si>
  <si>
    <t>Raclette Courdavault</t>
  </si>
  <si>
    <t>Gorgonzola Telino</t>
  </si>
  <si>
    <t>Gnocchi di nonna Alice</t>
  </si>
  <si>
    <t>Pavlova</t>
  </si>
  <si>
    <t>Rhönbräu Klosterbier</t>
  </si>
  <si>
    <t>Guaraná Fantástica</t>
  </si>
  <si>
    <t>Boston Crab Meat</t>
  </si>
  <si>
    <t>Tarte au sucre</t>
  </si>
  <si>
    <t>Flotemysost</t>
  </si>
  <si>
    <t>total_inventory_value</t>
  </si>
  <si>
    <t>units_in_stock</t>
  </si>
  <si>
    <t>reorder_level</t>
  </si>
  <si>
    <t>Aniseed Syrup</t>
  </si>
  <si>
    <t>Queso Cabrales</t>
  </si>
  <si>
    <t>Sir Rodney's Scones</t>
  </si>
  <si>
    <t>Nord-Ost Matjeshering</t>
  </si>
  <si>
    <t>Mascarpone Fabioli</t>
  </si>
  <si>
    <t>Gravad lax</t>
  </si>
  <si>
    <t>Ipoh Coffee</t>
  </si>
  <si>
    <t>Rogede sild</t>
  </si>
  <si>
    <t>Chocolade</t>
  </si>
  <si>
    <t>Maxilaku</t>
  </si>
  <si>
    <t>Wimmers gute Semmelknödel</t>
  </si>
  <si>
    <t>Louisiana Hot Spiced Okra</t>
  </si>
  <si>
    <t>Scottish Longbreads</t>
  </si>
  <si>
    <t>Outback Lager</t>
  </si>
  <si>
    <t>Longlife Tofu</t>
  </si>
  <si>
    <t>units_sold</t>
  </si>
  <si>
    <t>turnover_ratio</t>
  </si>
  <si>
    <t>Chang</t>
  </si>
  <si>
    <t>Northwoods Cranberry Sauce</t>
  </si>
  <si>
    <t>Mozzarella di Giovanni</t>
  </si>
  <si>
    <t>Uncle Bob's Organic Dried Pears</t>
  </si>
  <si>
    <t>Gumbär Gummibärchen</t>
  </si>
  <si>
    <t>Manjimup Dried Apples</t>
  </si>
  <si>
    <t>Steeleye Stout</t>
  </si>
  <si>
    <t>Konbu</t>
  </si>
  <si>
    <t>Côte de Blaye</t>
  </si>
  <si>
    <t>Tourtière</t>
  </si>
  <si>
    <t>Teatime Chocolate Biscuits</t>
  </si>
  <si>
    <t>Gudbrandsdalsost</t>
  </si>
  <si>
    <t>Singaporean Hokkien Fried Mee</t>
  </si>
  <si>
    <t>Original Frankfurter grüne Soße</t>
  </si>
  <si>
    <t>Rössle Sauerkraut</t>
  </si>
  <si>
    <t>Ikura</t>
  </si>
  <si>
    <t>Gula Malacca</t>
  </si>
  <si>
    <t>Chai</t>
  </si>
  <si>
    <t>Vegie-spread</t>
  </si>
  <si>
    <t>Lakkalikööri</t>
  </si>
  <si>
    <t>Zaanse koeken</t>
  </si>
  <si>
    <t>Filo Mix</t>
  </si>
  <si>
    <t>Carnarvon Tigers</t>
  </si>
  <si>
    <t>Ravioli Angelo</t>
  </si>
  <si>
    <t>Tofu</t>
  </si>
  <si>
    <t>Jack's New England Clam Chowder</t>
  </si>
  <si>
    <t>Chartreuse verte</t>
  </si>
  <si>
    <t>Louisiana Fiery Hot Pepper Sauce</t>
  </si>
  <si>
    <t>Tunnbröd</t>
  </si>
  <si>
    <t>Escargots de Bourgogne</t>
  </si>
  <si>
    <t>Chef Anton's Cajun Seasoning</t>
  </si>
  <si>
    <t>Pâté chinois</t>
  </si>
  <si>
    <t>Sir Rodney's Marmalade</t>
  </si>
  <si>
    <t>Schoggi Schokolade</t>
  </si>
  <si>
    <t>Inlagd Sill</t>
  </si>
  <si>
    <t>Geitost</t>
  </si>
  <si>
    <t>Spegesild</t>
  </si>
  <si>
    <t>Sirop d'érable</t>
  </si>
  <si>
    <t>Sasquatch Ale</t>
  </si>
  <si>
    <t>NuNuCa Nuß-Nougat-Creme</t>
  </si>
  <si>
    <t>Queso Manchego La Pastora</t>
  </si>
  <si>
    <t>Valkoinen suklaa</t>
  </si>
  <si>
    <t>Laughing Lumberjack Lager</t>
  </si>
  <si>
    <t>Gustaf's Knäckebröd</t>
  </si>
  <si>
    <t>Mishi Kobe Niku</t>
  </si>
  <si>
    <t>Genen Shouyu</t>
  </si>
  <si>
    <t>Röd Kaviar</t>
  </si>
  <si>
    <t>Grandma's Boysenberry Spread</t>
  </si>
  <si>
    <t>Row Labels</t>
  </si>
  <si>
    <t>Grand Total</t>
  </si>
  <si>
    <t>1996</t>
  </si>
  <si>
    <t>1997</t>
  </si>
  <si>
    <t>1998</t>
  </si>
  <si>
    <t>Sum of net_revenue</t>
  </si>
  <si>
    <t>Sum of total_sold</t>
  </si>
  <si>
    <t>Sum of units_in_stock</t>
  </si>
  <si>
    <t>Sum of turnover_ratio</t>
  </si>
  <si>
    <t>SALES &amp; INVENTORY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</si>
</sst>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"/>
    <numFmt numFmtId="167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0" fillId="0" borderId="0" xfId="0" applyNumberFormat="1"/>
    <xf numFmtId="1" fontId="0" fillId="0" borderId="0" xfId="1" applyNumberFormat="1" applyFon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2" formatCode="0.00"/>
    </dxf>
    <dxf>
      <numFmt numFmtId="0" formatCode="General"/>
    </dxf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yyyy/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Pivot!$B$3:$B$6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Pivot!$C$3:$C$6</c:f>
              <c:numCache>
                <c:formatCode>_-[$$-409]* #,##0.00_ ;_-[$$-409]* \-#,##0.00\ ;_-[$$-409]* "-"??_ ;_-@_ </c:formatCode>
                <c:ptCount val="3"/>
                <c:pt idx="0">
                  <c:v>20808398</c:v>
                </c:pt>
                <c:pt idx="1">
                  <c:v>61708520</c:v>
                </c:pt>
                <c:pt idx="2">
                  <c:v>44062387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0-4749-ABD8-6398A8908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923408"/>
        <c:axId val="322909968"/>
      </c:lineChart>
      <c:catAx>
        <c:axId val="32292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09968"/>
        <c:crosses val="autoZero"/>
        <c:auto val="1"/>
        <c:lblAlgn val="ctr"/>
        <c:lblOffset val="100"/>
        <c:noMultiLvlLbl val="0"/>
      </c:catAx>
      <c:valAx>
        <c:axId val="3229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2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Pivot!$B$18:$B$28</c:f>
              <c:strCache>
                <c:ptCount val="10"/>
                <c:pt idx="0">
                  <c:v>Flotemysost</c:v>
                </c:pt>
                <c:pt idx="1">
                  <c:v>Tarte au sucre</c:v>
                </c:pt>
                <c:pt idx="2">
                  <c:v>Boston Crab Meat</c:v>
                </c:pt>
                <c:pt idx="3">
                  <c:v>Guaraná Fantástica</c:v>
                </c:pt>
                <c:pt idx="4">
                  <c:v>Rhönbräu Klosterbier</c:v>
                </c:pt>
                <c:pt idx="5">
                  <c:v>Pavlova</c:v>
                </c:pt>
                <c:pt idx="6">
                  <c:v>Gnocchi di nonna Alice</c:v>
                </c:pt>
                <c:pt idx="7">
                  <c:v>Gorgonzola Telino</c:v>
                </c:pt>
                <c:pt idx="8">
                  <c:v>Raclette Courdavault</c:v>
                </c:pt>
                <c:pt idx="9">
                  <c:v>Camembert Pierrot</c:v>
                </c:pt>
              </c:strCache>
            </c:strRef>
          </c:cat>
          <c:val>
            <c:numRef>
              <c:f>Pivot!$C$18:$C$28</c:f>
              <c:numCache>
                <c:formatCode>General</c:formatCode>
                <c:ptCount val="10"/>
                <c:pt idx="0">
                  <c:v>1057</c:v>
                </c:pt>
                <c:pt idx="1">
                  <c:v>1083</c:v>
                </c:pt>
                <c:pt idx="2">
                  <c:v>1103</c:v>
                </c:pt>
                <c:pt idx="3">
                  <c:v>1125</c:v>
                </c:pt>
                <c:pt idx="4">
                  <c:v>1155</c:v>
                </c:pt>
                <c:pt idx="5">
                  <c:v>1158</c:v>
                </c:pt>
                <c:pt idx="6">
                  <c:v>1263</c:v>
                </c:pt>
                <c:pt idx="7">
                  <c:v>1397</c:v>
                </c:pt>
                <c:pt idx="8">
                  <c:v>1496</c:v>
                </c:pt>
                <c:pt idx="9">
                  <c:v>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B-4A4F-A82E-2D5592F8AD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9794784"/>
        <c:axId val="1319812544"/>
      </c:barChart>
      <c:catAx>
        <c:axId val="131979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2544"/>
        <c:crosses val="autoZero"/>
        <c:auto val="1"/>
        <c:lblAlgn val="ctr"/>
        <c:lblOffset val="100"/>
        <c:noMultiLvlLbl val="0"/>
      </c:catAx>
      <c:valAx>
        <c:axId val="131981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Turnover</a:t>
            </a:r>
            <a:r>
              <a:rPr lang="en-ID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Ratio</a:t>
            </a:r>
            <a:endParaRPr lang="en-ID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Pivot!$O$2</c:f>
              <c:strCache>
                <c:ptCount val="1"/>
                <c:pt idx="0">
                  <c:v>Sum of units_in_stock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Pivot!$N$3:$N$13</c:f>
              <c:strCache>
                <c:ptCount val="10"/>
                <c:pt idx="0">
                  <c:v>Gnocchi di nonna Alice</c:v>
                </c:pt>
                <c:pt idx="1">
                  <c:v>Nord-Ost Matjeshering</c:v>
                </c:pt>
                <c:pt idx="2">
                  <c:v>Northwoods Cranberry Sauce</c:v>
                </c:pt>
                <c:pt idx="3">
                  <c:v>Chang</c:v>
                </c:pt>
                <c:pt idx="4">
                  <c:v>Tarte au sucre</c:v>
                </c:pt>
                <c:pt idx="5">
                  <c:v>Longlife Tofu</c:v>
                </c:pt>
                <c:pt idx="6">
                  <c:v>Camembert Pierrot</c:v>
                </c:pt>
                <c:pt idx="7">
                  <c:v>Rogede sild</c:v>
                </c:pt>
                <c:pt idx="8">
                  <c:v>Scottish Longbreads</c:v>
                </c:pt>
                <c:pt idx="9">
                  <c:v>Sir Rodney's Scones</c:v>
                </c:pt>
              </c:strCache>
            </c:strRef>
          </c:cat>
          <c:val>
            <c:numRef>
              <c:f>Pivot!$O$3:$O$13</c:f>
              <c:numCache>
                <c:formatCode>General</c:formatCode>
                <c:ptCount val="10"/>
                <c:pt idx="0">
                  <c:v>21</c:v>
                </c:pt>
                <c:pt idx="1">
                  <c:v>10</c:v>
                </c:pt>
                <c:pt idx="2">
                  <c:v>6</c:v>
                </c:pt>
                <c:pt idx="3">
                  <c:v>17</c:v>
                </c:pt>
                <c:pt idx="4">
                  <c:v>17</c:v>
                </c:pt>
                <c:pt idx="5">
                  <c:v>4</c:v>
                </c:pt>
                <c:pt idx="6">
                  <c:v>19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E-4598-808E-20C3680D7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821664"/>
        <c:axId val="1319822624"/>
      </c:barChart>
      <c:lineChart>
        <c:grouping val="standard"/>
        <c:varyColors val="0"/>
        <c:ser>
          <c:idx val="1"/>
          <c:order val="1"/>
          <c:tx>
            <c:strRef>
              <c:f>Pivot!$P$2</c:f>
              <c:strCache>
                <c:ptCount val="1"/>
                <c:pt idx="0">
                  <c:v>Sum of turnover_ratio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Pivot!$N$3:$N$13</c:f>
              <c:strCache>
                <c:ptCount val="10"/>
                <c:pt idx="0">
                  <c:v>Gnocchi di nonna Alice</c:v>
                </c:pt>
                <c:pt idx="1">
                  <c:v>Nord-Ost Matjeshering</c:v>
                </c:pt>
                <c:pt idx="2">
                  <c:v>Northwoods Cranberry Sauce</c:v>
                </c:pt>
                <c:pt idx="3">
                  <c:v>Chang</c:v>
                </c:pt>
                <c:pt idx="4">
                  <c:v>Tarte au sucre</c:v>
                </c:pt>
                <c:pt idx="5">
                  <c:v>Longlife Tofu</c:v>
                </c:pt>
                <c:pt idx="6">
                  <c:v>Camembert Pierrot</c:v>
                </c:pt>
                <c:pt idx="7">
                  <c:v>Rogede sild</c:v>
                </c:pt>
                <c:pt idx="8">
                  <c:v>Scottish Longbreads</c:v>
                </c:pt>
                <c:pt idx="9">
                  <c:v>Sir Rodney's Scones</c:v>
                </c:pt>
              </c:strCache>
            </c:strRef>
          </c:cat>
          <c:val>
            <c:numRef>
              <c:f>Pivot!$P$3:$P$13</c:f>
              <c:numCache>
                <c:formatCode>0.00</c:formatCode>
                <c:ptCount val="10"/>
                <c:pt idx="0">
                  <c:v>60.14</c:v>
                </c:pt>
                <c:pt idx="1">
                  <c:v>61.2</c:v>
                </c:pt>
                <c:pt idx="2">
                  <c:v>62</c:v>
                </c:pt>
                <c:pt idx="3">
                  <c:v>62.18</c:v>
                </c:pt>
                <c:pt idx="4">
                  <c:v>63.71</c:v>
                </c:pt>
                <c:pt idx="5">
                  <c:v>74.25</c:v>
                </c:pt>
                <c:pt idx="6">
                  <c:v>83</c:v>
                </c:pt>
                <c:pt idx="7">
                  <c:v>101.6</c:v>
                </c:pt>
                <c:pt idx="8">
                  <c:v>133.16999999999999</c:v>
                </c:pt>
                <c:pt idx="9">
                  <c:v>338.67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E-4598-808E-20C3680D7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807264"/>
        <c:axId val="1319806304"/>
      </c:lineChart>
      <c:catAx>
        <c:axId val="131982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22624"/>
        <c:crosses val="autoZero"/>
        <c:auto val="1"/>
        <c:lblAlgn val="ctr"/>
        <c:lblOffset val="100"/>
        <c:noMultiLvlLbl val="0"/>
      </c:catAx>
      <c:valAx>
        <c:axId val="13198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21664"/>
        <c:crosses val="autoZero"/>
        <c:crossBetween val="between"/>
      </c:valAx>
      <c:valAx>
        <c:axId val="131980630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07264"/>
        <c:crosses val="max"/>
        <c:crossBetween val="between"/>
      </c:valAx>
      <c:catAx>
        <c:axId val="131980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980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39688</xdr:colOff>
      <xdr:row>1</xdr:row>
      <xdr:rowOff>42862</xdr:rowOff>
    </xdr:from>
    <xdr:to>
      <xdr:col>8</xdr:col>
      <xdr:colOff>519113</xdr:colOff>
      <xdr:row>12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6538E-2490-B2A0-5ABA-8A11CDC73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46038</xdr:colOff>
      <xdr:row>13</xdr:row>
      <xdr:rowOff>1587</xdr:rowOff>
    </xdr:from>
    <xdr:to>
      <xdr:col>8</xdr:col>
      <xdr:colOff>512762</xdr:colOff>
      <xdr:row>29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33B1A9-7FAE-B034-2C70-47E510F83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42863</xdr:colOff>
      <xdr:row>30</xdr:row>
      <xdr:rowOff>9525</xdr:rowOff>
    </xdr:from>
    <xdr:to>
      <xdr:col>8</xdr:col>
      <xdr:colOff>515938</xdr:colOff>
      <xdr:row>49</xdr:row>
      <xdr:rowOff>130174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19240-4C08-B395-5FB7-68B980D14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kri miftahurrohman" refreshedDate="46112.661867013892" createdVersion="8" refreshedVersion="8" minRefreshableVersion="3" recordCount="23" xr:uid="{CEBE96F9-8501-44C0-9DBE-2F1BE6843CB2}">
  <cacheSource type="worksheet">
    <worksheetSource name="Monthly_Sales_Trend"/>
  </cacheSource>
  <cacheFields count="5">
    <cacheField name="month" numFmtId="166">
      <sharedItems containsSemiMixedTypes="0" containsNonDate="0" containsDate="1" containsString="0" minDate="1996-07-01T00:00:00" maxDate="1998-05-02T00:00:00" count="23"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</sharedItems>
      <fieldGroup par="4"/>
    </cacheField>
    <cacheField name="net_revenue" numFmtId="167">
      <sharedItems containsSemiMixedTypes="0" containsString="0" containsNumber="1" containsInteger="1" minValue="1833363" maxValue="12379868"/>
    </cacheField>
    <cacheField name="Months (month)" numFmtId="0" databaseField="0">
      <fieldGroup base="0">
        <rangePr groupBy="months" startDate="1996-07-01T00:00:00" endDate="1998-05-02T00:00:00"/>
        <groupItems count="14">
          <s v="&lt;01/07/199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5/1998"/>
        </groupItems>
      </fieldGroup>
    </cacheField>
    <cacheField name="Quarters (month)" numFmtId="0" databaseField="0">
      <fieldGroup base="0">
        <rangePr groupBy="quarters" startDate="1996-07-01T00:00:00" endDate="1998-05-02T00:00:00"/>
        <groupItems count="6">
          <s v="&lt;01/07/1996"/>
          <s v="Qtr1"/>
          <s v="Qtr2"/>
          <s v="Qtr3"/>
          <s v="Qtr4"/>
          <s v="&gt;02/05/1998"/>
        </groupItems>
      </fieldGroup>
    </cacheField>
    <cacheField name="Years (month)" numFmtId="0" databaseField="0">
      <fieldGroup base="0">
        <rangePr groupBy="years" startDate="1996-07-01T00:00:00" endDate="1998-05-02T00:00:00"/>
        <groupItems count="5">
          <s v="&lt;01/07/1996"/>
          <s v="1996"/>
          <s v="1997"/>
          <s v="1998"/>
          <s v="&gt;02/05/199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kri miftahurrohman" refreshedDate="46112.664975115738" createdVersion="8" refreshedVersion="8" minRefreshableVersion="3" recordCount="10" xr:uid="{08E9A920-6506-4583-970B-AB2790B69B4A}">
  <cacheSource type="worksheet">
    <worksheetSource name="Top_Selling_Products"/>
  </cacheSource>
  <cacheFields count="2">
    <cacheField name="product_name" numFmtId="0">
      <sharedItems count="10">
        <s v="Camembert Pierrot"/>
        <s v="Raclette Courdavault"/>
        <s v="Gorgonzola Telino"/>
        <s v="Gnocchi di nonna Alice"/>
        <s v="Pavlova"/>
        <s v="Rhönbräu Klosterbier"/>
        <s v="Guaraná Fantástica"/>
        <s v="Boston Crab Meat"/>
        <s v="Tarte au sucre"/>
        <s v="Flotemysost"/>
      </sharedItems>
    </cacheField>
    <cacheField name="total_sold" numFmtId="0">
      <sharedItems containsSemiMixedTypes="0" containsString="0" containsNumber="1" containsInteger="1" minValue="1057" maxValue="15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kri miftahurrohman" refreshedDate="46112.666887268519" createdVersion="8" refreshedVersion="8" minRefreshableVersion="3" recordCount="72" xr:uid="{ED5A574D-515E-487B-B9A4-1DEE25D382DC}">
  <cacheSource type="worksheet">
    <worksheetSource name="Inventory_Turnover"/>
  </cacheSource>
  <cacheFields count="4">
    <cacheField name="product_name" numFmtId="0">
      <sharedItems count="72">
        <s v="Sir Rodney's Scones"/>
        <s v="Scottish Longbreads"/>
        <s v="Rogede sild"/>
        <s v="Camembert Pierrot"/>
        <s v="Longlife Tofu"/>
        <s v="Tarte au sucre"/>
        <s v="Chang"/>
        <s v="Northwoods Cranberry Sauce"/>
        <s v="Nord-Ost Matjeshering"/>
        <s v="Gnocchi di nonna Alice"/>
        <s v="Louisiana Hot Spiced Okra"/>
        <s v="Mozzarella di Giovanni"/>
        <s v="Guaraná Fantástica"/>
        <s v="Outback Lager"/>
        <s v="Maxilaku"/>
        <s v="Uncle Bob's Organic Dried Pears"/>
        <s v="Gumbär Gummibärchen"/>
        <s v="Manjimup Dried Apples"/>
        <s v="Steeleye Stout"/>
        <s v="Flotemysost"/>
        <s v="Pavlova"/>
        <s v="Konbu"/>
        <s v="Côte de Blaye"/>
        <s v="Tourtière"/>
        <s v="Ipoh Coffee"/>
        <s v="Wimmers gute Semmelknödel"/>
        <s v="Mascarpone Fabioli"/>
        <s v="Queso Cabrales"/>
        <s v="Teatime Chocolate Biscuits"/>
        <s v="Gudbrandsdalsost"/>
        <s v="Singaporean Hokkien Fried Mee"/>
        <s v="Aniseed Syrup"/>
        <s v="Original Frankfurter grüne Soße"/>
        <s v="Rössle Sauerkraut"/>
        <s v="Ikura"/>
        <s v="Gula Malacca"/>
        <s v="Chai"/>
        <s v="Raclette Courdavault"/>
        <s v="Vegie-spread"/>
        <s v="Lakkalikööri"/>
        <s v="Zaanse koeken"/>
        <s v="Filo Mix"/>
        <s v="Carnarvon Tigers"/>
        <s v="Ravioli Angelo"/>
        <s v="Tofu"/>
        <s v="Jack's New England Clam Chowder"/>
        <s v="Chartreuse verte"/>
        <s v="Gravad lax"/>
        <s v="Louisiana Fiery Hot Pepper Sauce"/>
        <s v="Tunnbröd"/>
        <s v="Rhönbräu Klosterbier"/>
        <s v="Chocolade"/>
        <s v="Boston Crab Meat"/>
        <s v="Escargots de Bourgogne"/>
        <s v="Chef Anton's Cajun Seasoning"/>
        <s v="Pâté chinois"/>
        <s v="Sir Rodney's Marmalade"/>
        <s v="Schoggi Schokolade"/>
        <s v="Inlagd Sill"/>
        <s v="Geitost"/>
        <s v="Spegesild"/>
        <s v="Sirop d'érable"/>
        <s v="Sasquatch Ale"/>
        <s v="NuNuCa Nuß-Nougat-Creme"/>
        <s v="Queso Manchego La Pastora"/>
        <s v="Valkoinen suklaa"/>
        <s v="Laughing Lumberjack Lager"/>
        <s v="Gustaf's Knäckebröd"/>
        <s v="Mishi Kobe Niku"/>
        <s v="Genen Shouyu"/>
        <s v="Röd Kaviar"/>
        <s v="Grandma's Boysenberry Spread"/>
      </sharedItems>
    </cacheField>
    <cacheField name="units_sold" numFmtId="0">
      <sharedItems containsSemiMixedTypes="0" containsString="0" containsNumber="1" containsInteger="1" minValue="95" maxValue="1577"/>
    </cacheField>
    <cacheField name="units_in_stock" numFmtId="0">
      <sharedItems containsSemiMixedTypes="0" containsString="0" containsNumber="1" containsInteger="1" minValue="3" maxValue="125"/>
    </cacheField>
    <cacheField name="turnover_ratio" numFmtId="2">
      <sharedItems containsSemiMixedTypes="0" containsString="0" containsNumber="1" minValue="2.5099999999999998" maxValue="338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2786190"/>
  </r>
  <r>
    <x v="1"/>
    <n v="2548528"/>
  </r>
  <r>
    <x v="2"/>
    <n v="2638140"/>
  </r>
  <r>
    <x v="3"/>
    <n v="3751572"/>
  </r>
  <r>
    <x v="4"/>
    <n v="4560005"/>
  </r>
  <r>
    <x v="5"/>
    <n v="4523963"/>
  </r>
  <r>
    <x v="6"/>
    <n v="6125807"/>
  </r>
  <r>
    <x v="7"/>
    <n v="3848363"/>
  </r>
  <r>
    <x v="8"/>
    <n v="3854722"/>
  </r>
  <r>
    <x v="9"/>
    <n v="5303295"/>
  </r>
  <r>
    <x v="10"/>
    <n v="5378129"/>
  </r>
  <r>
    <x v="11"/>
    <n v="3636280"/>
  </r>
  <r>
    <x v="12"/>
    <n v="5102086"/>
  </r>
  <r>
    <x v="13"/>
    <n v="4728767"/>
  </r>
  <r>
    <x v="14"/>
    <n v="5562924"/>
  </r>
  <r>
    <x v="15"/>
    <n v="6674923"/>
  </r>
  <r>
    <x v="16"/>
    <n v="4353381"/>
  </r>
  <r>
    <x v="17"/>
    <n v="7139843"/>
  </r>
  <r>
    <x v="18"/>
    <n v="9422211"/>
  </r>
  <r>
    <x v="19"/>
    <n v="9941529"/>
  </r>
  <r>
    <x v="20"/>
    <n v="10485416"/>
  </r>
  <r>
    <x v="21"/>
    <n v="12379868"/>
  </r>
  <r>
    <x v="22"/>
    <n v="18333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577"/>
  </r>
  <r>
    <x v="1"/>
    <n v="1496"/>
  </r>
  <r>
    <x v="2"/>
    <n v="1397"/>
  </r>
  <r>
    <x v="3"/>
    <n v="1263"/>
  </r>
  <r>
    <x v="4"/>
    <n v="1158"/>
  </r>
  <r>
    <x v="5"/>
    <n v="1155"/>
  </r>
  <r>
    <x v="6"/>
    <n v="1125"/>
  </r>
  <r>
    <x v="7"/>
    <n v="1103"/>
  </r>
  <r>
    <x v="8"/>
    <n v="1083"/>
  </r>
  <r>
    <x v="9"/>
    <n v="105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1016"/>
    <n v="3"/>
    <n v="338.67"/>
  </r>
  <r>
    <x v="1"/>
    <n v="799"/>
    <n v="6"/>
    <n v="133.16999999999999"/>
  </r>
  <r>
    <x v="2"/>
    <n v="508"/>
    <n v="5"/>
    <n v="101.6"/>
  </r>
  <r>
    <x v="3"/>
    <n v="1577"/>
    <n v="19"/>
    <n v="83"/>
  </r>
  <r>
    <x v="4"/>
    <n v="297"/>
    <n v="4"/>
    <n v="74.25"/>
  </r>
  <r>
    <x v="5"/>
    <n v="1083"/>
    <n v="17"/>
    <n v="63.71"/>
  </r>
  <r>
    <x v="6"/>
    <n v="1057"/>
    <n v="17"/>
    <n v="62.18"/>
  </r>
  <r>
    <x v="7"/>
    <n v="372"/>
    <n v="6"/>
    <n v="62"/>
  </r>
  <r>
    <x v="8"/>
    <n v="612"/>
    <n v="10"/>
    <n v="61.2"/>
  </r>
  <r>
    <x v="9"/>
    <n v="1263"/>
    <n v="21"/>
    <n v="60.14"/>
  </r>
  <r>
    <x v="10"/>
    <n v="239"/>
    <n v="4"/>
    <n v="59.75"/>
  </r>
  <r>
    <x v="11"/>
    <n v="806"/>
    <n v="14"/>
    <n v="57.57"/>
  </r>
  <r>
    <x v="12"/>
    <n v="1125"/>
    <n v="20"/>
    <n v="56.25"/>
  </r>
  <r>
    <x v="13"/>
    <n v="817"/>
    <n v="15"/>
    <n v="54.47"/>
  </r>
  <r>
    <x v="14"/>
    <n v="520"/>
    <n v="10"/>
    <n v="52"/>
  </r>
  <r>
    <x v="15"/>
    <n v="763"/>
    <n v="15"/>
    <n v="50.87"/>
  </r>
  <r>
    <x v="16"/>
    <n v="753"/>
    <n v="15"/>
    <n v="50.2"/>
  </r>
  <r>
    <x v="17"/>
    <n v="886"/>
    <n v="20"/>
    <n v="44.3"/>
  </r>
  <r>
    <x v="18"/>
    <n v="883"/>
    <n v="20"/>
    <n v="44.15"/>
  </r>
  <r>
    <x v="19"/>
    <n v="1057"/>
    <n v="26"/>
    <n v="40.65"/>
  </r>
  <r>
    <x v="20"/>
    <n v="1158"/>
    <n v="29"/>
    <n v="39.93"/>
  </r>
  <r>
    <x v="21"/>
    <n v="891"/>
    <n v="24"/>
    <n v="37.130000000000003"/>
  </r>
  <r>
    <x v="22"/>
    <n v="623"/>
    <n v="17"/>
    <n v="36.65"/>
  </r>
  <r>
    <x v="23"/>
    <n v="755"/>
    <n v="21"/>
    <n v="35.950000000000003"/>
  </r>
  <r>
    <x v="24"/>
    <n v="580"/>
    <n v="17"/>
    <n v="34.119999999999997"/>
  </r>
  <r>
    <x v="25"/>
    <n v="740"/>
    <n v="22"/>
    <n v="33.64"/>
  </r>
  <r>
    <x v="26"/>
    <n v="297"/>
    <n v="9"/>
    <n v="33"/>
  </r>
  <r>
    <x v="27"/>
    <n v="706"/>
    <n v="22"/>
    <n v="32.090000000000003"/>
  </r>
  <r>
    <x v="28"/>
    <n v="723"/>
    <n v="25"/>
    <n v="28.92"/>
  </r>
  <r>
    <x v="29"/>
    <n v="714"/>
    <n v="26"/>
    <n v="27.46"/>
  </r>
  <r>
    <x v="30"/>
    <n v="697"/>
    <n v="26"/>
    <n v="26.81"/>
  </r>
  <r>
    <x v="31"/>
    <n v="328"/>
    <n v="13"/>
    <n v="25.23"/>
  </r>
  <r>
    <x v="32"/>
    <n v="791"/>
    <n v="32"/>
    <n v="24.72"/>
  </r>
  <r>
    <x v="33"/>
    <n v="640"/>
    <n v="26"/>
    <n v="24.62"/>
  </r>
  <r>
    <x v="34"/>
    <n v="742"/>
    <n v="31"/>
    <n v="23.94"/>
  </r>
  <r>
    <x v="35"/>
    <n v="601"/>
    <n v="27"/>
    <n v="22.26"/>
  </r>
  <r>
    <x v="36"/>
    <n v="828"/>
    <n v="39"/>
    <n v="21.23"/>
  </r>
  <r>
    <x v="37"/>
    <n v="1496"/>
    <n v="79"/>
    <n v="18.940000000000001"/>
  </r>
  <r>
    <x v="38"/>
    <n v="445"/>
    <n v="24"/>
    <n v="18.54"/>
  </r>
  <r>
    <x v="39"/>
    <n v="981"/>
    <n v="57"/>
    <n v="17.21"/>
  </r>
  <r>
    <x v="40"/>
    <n v="485"/>
    <n v="36"/>
    <n v="13.47"/>
  </r>
  <r>
    <x v="41"/>
    <n v="500"/>
    <n v="38"/>
    <n v="13.16"/>
  </r>
  <r>
    <x v="42"/>
    <n v="539"/>
    <n v="42"/>
    <n v="12.83"/>
  </r>
  <r>
    <x v="43"/>
    <n v="434"/>
    <n v="36"/>
    <n v="12.06"/>
  </r>
  <r>
    <x v="44"/>
    <n v="404"/>
    <n v="35"/>
    <n v="11.54"/>
  </r>
  <r>
    <x v="45"/>
    <n v="981"/>
    <n v="85"/>
    <n v="11.54"/>
  </r>
  <r>
    <x v="46"/>
    <n v="793"/>
    <n v="69"/>
    <n v="11.49"/>
  </r>
  <r>
    <x v="47"/>
    <n v="125"/>
    <n v="11"/>
    <n v="11.36"/>
  </r>
  <r>
    <x v="48"/>
    <n v="745"/>
    <n v="76"/>
    <n v="9.8000000000000007"/>
  </r>
  <r>
    <x v="49"/>
    <n v="580"/>
    <n v="61"/>
    <n v="9.51"/>
  </r>
  <r>
    <x v="50"/>
    <n v="1155"/>
    <n v="125"/>
    <n v="9.24"/>
  </r>
  <r>
    <x v="51"/>
    <n v="138"/>
    <n v="15"/>
    <n v="9.1999999999999993"/>
  </r>
  <r>
    <x v="52"/>
    <n v="1103"/>
    <n v="123"/>
    <n v="8.9700000000000006"/>
  </r>
  <r>
    <x v="53"/>
    <n v="534"/>
    <n v="62"/>
    <n v="8.61"/>
  </r>
  <r>
    <x v="54"/>
    <n v="453"/>
    <n v="53"/>
    <n v="8.5500000000000007"/>
  </r>
  <r>
    <x v="55"/>
    <n v="903"/>
    <n v="115"/>
    <n v="7.85"/>
  </r>
  <r>
    <x v="56"/>
    <n v="313"/>
    <n v="40"/>
    <n v="7.83"/>
  </r>
  <r>
    <x v="57"/>
    <n v="365"/>
    <n v="49"/>
    <n v="7.45"/>
  </r>
  <r>
    <x v="58"/>
    <n v="805"/>
    <n v="112"/>
    <n v="7.19"/>
  </r>
  <r>
    <x v="59"/>
    <n v="755"/>
    <n v="112"/>
    <n v="6.74"/>
  </r>
  <r>
    <x v="60"/>
    <n v="548"/>
    <n v="95"/>
    <n v="5.77"/>
  </r>
  <r>
    <x v="61"/>
    <n v="603"/>
    <n v="113"/>
    <n v="5.34"/>
  </r>
  <r>
    <x v="62"/>
    <n v="506"/>
    <n v="111"/>
    <n v="4.5599999999999996"/>
  </r>
  <r>
    <x v="63"/>
    <n v="318"/>
    <n v="76"/>
    <n v="4.18"/>
  </r>
  <r>
    <x v="64"/>
    <n v="344"/>
    <n v="86"/>
    <n v="4"/>
  </r>
  <r>
    <x v="65"/>
    <n v="235"/>
    <n v="65"/>
    <n v="3.62"/>
  </r>
  <r>
    <x v="66"/>
    <n v="184"/>
    <n v="52"/>
    <n v="3.54"/>
  </r>
  <r>
    <x v="67"/>
    <n v="348"/>
    <n v="104"/>
    <n v="3.35"/>
  </r>
  <r>
    <x v="68"/>
    <n v="95"/>
    <n v="29"/>
    <n v="3.28"/>
  </r>
  <r>
    <x v="69"/>
    <n v="122"/>
    <n v="39"/>
    <n v="3.13"/>
  </r>
  <r>
    <x v="70"/>
    <n v="293"/>
    <n v="101"/>
    <n v="2.9"/>
  </r>
  <r>
    <x v="71"/>
    <n v="301"/>
    <n v="120"/>
    <n v="2.50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CFCAF-06DB-4FF2-8C23-4F2148F2ACF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N2:P13" firstHeaderRow="0" firstDataRow="1" firstDataCol="1"/>
  <pivotFields count="4">
    <pivotField axis="axisRow" showAll="0" measureFilter="1" sortType="ascending">
      <items count="73">
        <item x="31"/>
        <item x="52"/>
        <item x="3"/>
        <item x="42"/>
        <item x="36"/>
        <item x="6"/>
        <item x="46"/>
        <item x="54"/>
        <item x="51"/>
        <item x="22"/>
        <item x="53"/>
        <item x="41"/>
        <item x="19"/>
        <item x="59"/>
        <item x="69"/>
        <item x="9"/>
        <item x="71"/>
        <item x="47"/>
        <item x="12"/>
        <item x="29"/>
        <item x="35"/>
        <item x="16"/>
        <item x="67"/>
        <item x="34"/>
        <item x="58"/>
        <item x="24"/>
        <item x="45"/>
        <item x="21"/>
        <item x="39"/>
        <item x="66"/>
        <item x="4"/>
        <item x="48"/>
        <item x="10"/>
        <item x="17"/>
        <item x="26"/>
        <item x="14"/>
        <item x="68"/>
        <item x="11"/>
        <item x="8"/>
        <item x="7"/>
        <item x="63"/>
        <item x="32"/>
        <item x="13"/>
        <item x="55"/>
        <item x="20"/>
        <item x="27"/>
        <item x="64"/>
        <item x="37"/>
        <item x="43"/>
        <item x="50"/>
        <item x="70"/>
        <item x="2"/>
        <item x="33"/>
        <item x="62"/>
        <item x="57"/>
        <item x="1"/>
        <item x="30"/>
        <item x="56"/>
        <item x="0"/>
        <item x="61"/>
        <item x="60"/>
        <item x="18"/>
        <item x="5"/>
        <item x="28"/>
        <item x="44"/>
        <item x="23"/>
        <item x="49"/>
        <item x="15"/>
        <item x="65"/>
        <item x="38"/>
        <item x="25"/>
        <item x="4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numFmtId="2" showAll="0"/>
  </pivotFields>
  <rowFields count="1">
    <field x="0"/>
  </rowFields>
  <rowItems count="11">
    <i>
      <x v="15"/>
    </i>
    <i>
      <x v="38"/>
    </i>
    <i>
      <x v="39"/>
    </i>
    <i>
      <x v="5"/>
    </i>
    <i>
      <x v="62"/>
    </i>
    <i>
      <x v="30"/>
    </i>
    <i>
      <x v="2"/>
    </i>
    <i>
      <x v="51"/>
    </i>
    <i>
      <x v="55"/>
    </i>
    <i>
      <x v="5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in_stock" fld="2" baseField="0" baseItem="0"/>
    <dataField name="Sum of turnover_ratio" fld="3" baseField="0" baseItem="0" numFmtId="2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0C514-8A2D-41D1-BD4A-4941DDBDAE8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7:C28" firstHeaderRow="1" firstDataRow="1" firstDataCol="1"/>
  <pivotFields count="2">
    <pivotField axis="axisRow" showAll="0" sortType="ascending">
      <items count="11">
        <item x="7"/>
        <item x="0"/>
        <item x="9"/>
        <item x="3"/>
        <item x="2"/>
        <item x="6"/>
        <item x="4"/>
        <item x="1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2"/>
    </i>
    <i>
      <x v="9"/>
    </i>
    <i>
      <x/>
    </i>
    <i>
      <x v="5"/>
    </i>
    <i>
      <x v="8"/>
    </i>
    <i>
      <x v="6"/>
    </i>
    <i>
      <x v="3"/>
    </i>
    <i>
      <x v="4"/>
    </i>
    <i>
      <x v="7"/>
    </i>
    <i>
      <x v="1"/>
    </i>
    <i t="grand">
      <x/>
    </i>
  </rowItems>
  <colItems count="1">
    <i/>
  </colItems>
  <dataFields count="1">
    <dataField name="Sum of total_sold" fld="1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986F9-FED9-4267-A015-65D7D5A3EC2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:C6" firstHeaderRow="1" firstDataRow="1" firstDataCol="1"/>
  <pivotFields count="5">
    <pivotField axis="axisRow" numFmtId="166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4"/>
    <field x="0"/>
    <field x="2"/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net_revenue" fld="1" baseField="0" baseItem="0" numFmtId="167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D846A5E-D8FD-44AF-93EB-62FF9420A170}" autoFormatId="16" applyNumberFormats="0" applyBorderFormats="0" applyFontFormats="0" applyPatternFormats="0" applyAlignmentFormats="0" applyWidthHeightFormats="0">
  <queryTableRefresh nextId="2">
    <queryTableFields count="1">
      <queryTableField id="1" name="total_gross_revenu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EC6950B-BA43-4BA9-A0CE-7D6FBA23DBD7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net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2EFAD53-A9D6-4BC0-A0BC-B1D7C48166CF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sol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47DFA7-5F1D-44C6-8C0F-6C22BAE93F8F}" autoFormatId="16" applyNumberFormats="0" applyBorderFormats="0" applyFontFormats="0" applyPatternFormats="0" applyAlignmentFormats="0" applyWidthHeightFormats="0">
  <queryTableRefresh nextId="2">
    <queryTableFields count="1">
      <queryTableField id="1" name="total_inventory_valu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85738BB-DBAA-479A-B02D-B8D3C491FBC9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units_in_stock" tableColumnId="2"/>
      <queryTableField id="3" name="reorder_level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CE40E6-6206-4FD7-B9D5-F2C759872168}" autoFormatId="16" applyNumberFormats="0" applyBorderFormats="0" applyFontFormats="0" applyPatternFormats="0" applyAlignmentFormats="0" applyWidthHeightFormats="0">
  <queryTableRefresh nextId="6">
    <queryTableFields count="4">
      <queryTableField id="1" name="product_name" tableColumnId="1"/>
      <queryTableField id="2" name="units_sold" tableColumnId="2"/>
      <queryTableField id="3" name="units_in_stock" tableColumnId="3"/>
      <queryTableField id="4" name="turnover_rati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FAAAA-257B-4FFA-91B2-C7B7B017EE7C}" name="Total_Gross_Revenue" displayName="Total_Gross_Revenue" ref="A1:A2" tableType="queryTable" totalsRowShown="0" dataDxfId="6">
  <autoFilter ref="A1:A2" xr:uid="{D13FAAAA-257B-4FFA-91B2-C7B7B017EE7C}"/>
  <tableColumns count="1">
    <tableColumn id="1" xr3:uid="{0CA12460-7C83-4AA1-BDEE-60D3354A8BEE}" uniqueName="1" name="total_gross_revenue" queryTableFieldId="1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5CABF-A343-4628-BB72-E52FD066F804}" name="Monthly_Sales_Trend" displayName="Monthly_Sales_Trend" ref="A1:B24" tableType="queryTable" totalsRowShown="0">
  <autoFilter ref="A1:B24" xr:uid="{F545CABF-A343-4628-BB72-E52FD066F804}"/>
  <tableColumns count="2">
    <tableColumn id="1" xr3:uid="{BB02C665-8EDB-467A-81EA-88D0B1997076}" uniqueName="1" name="month" queryTableFieldId="1" dataDxfId="9"/>
    <tableColumn id="2" xr3:uid="{4C76BA75-39C2-44DB-B5F1-FD1B77B0CCBC}" uniqueName="2" name="net_revenue" queryTableFieldId="2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301DD-8CE6-45F1-B6D0-21DD3D15FA14}" name="Top_Selling_Products" displayName="Top_Selling_Products" ref="A1:B11" tableType="queryTable" totalsRowShown="0">
  <autoFilter ref="A1:B11" xr:uid="{313301DD-8CE6-45F1-B6D0-21DD3D15FA14}"/>
  <tableColumns count="2">
    <tableColumn id="1" xr3:uid="{F7DC29B5-F52D-4DB1-86DD-DCBF2B18C06E}" uniqueName="1" name="product_name" queryTableFieldId="1" dataDxfId="5"/>
    <tableColumn id="2" xr3:uid="{8A3D7FDE-11FA-411C-AEF5-BF1E6A7C0515}" uniqueName="2" name="total_sold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A74C66-AE62-4708-A8F5-111AB1B4F57B}" name="Inventory_Value" displayName="Inventory_Value" ref="A1:A2" tableType="queryTable" totalsRowShown="0" dataDxfId="3">
  <autoFilter ref="A1:A2" xr:uid="{48A74C66-AE62-4708-A8F5-111AB1B4F57B}"/>
  <tableColumns count="1">
    <tableColumn id="1" xr3:uid="{B40BC5C4-94B5-4D6B-9F41-CF165A9B43A5}" uniqueName="1" name="total_inventory_value" queryTableFieldId="1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E1FCE4-6F87-4B4D-88C9-F287A0679DB5}" name="Reorder_Alert" displayName="Reorder_Alert" ref="A1:C18" tableType="queryTable" totalsRowShown="0">
  <autoFilter ref="A1:C18" xr:uid="{80E1FCE4-6F87-4B4D-88C9-F287A0679DB5}"/>
  <tableColumns count="3">
    <tableColumn id="1" xr3:uid="{C66480D4-3077-4D97-A346-7EFD59271DDA}" uniqueName="1" name="product_name" queryTableFieldId="1" dataDxfId="2"/>
    <tableColumn id="2" xr3:uid="{B60C7CA9-C7F5-4926-8DAD-7FA5E9752E5B}" uniqueName="2" name="units_in_stock" queryTableFieldId="2"/>
    <tableColumn id="3" xr3:uid="{1913F5D7-5815-4EF7-A3C4-C668C6C096EB}" uniqueName="3" name="reorder_level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4573E9-9DEC-4BB0-A319-EC08C6AEB037}" name="Inventory_Turnover" displayName="Inventory_Turnover" ref="A1:D73" tableType="queryTable" totalsRowShown="0">
  <autoFilter ref="A1:D73" xr:uid="{794573E9-9DEC-4BB0-A319-EC08C6AEB037}"/>
  <tableColumns count="4">
    <tableColumn id="1" xr3:uid="{0723AB7F-737E-43A0-987C-E477411B6911}" uniqueName="1" name="product_name" queryTableFieldId="1" dataDxfId="1"/>
    <tableColumn id="2" xr3:uid="{ACDE8E8A-8268-41AF-A978-9429A3541707}" uniqueName="2" name="units_sold" queryTableFieldId="2"/>
    <tableColumn id="3" xr3:uid="{FAACD0E9-BAF3-476C-BBB7-84238F609B90}" uniqueName="3" name="units_in_stock" queryTableFieldId="3"/>
    <tableColumn id="4" xr3:uid="{E8BD6DED-845E-48CA-A45D-09CB6BFCA247}" uniqueName="4" name="turnover_ratio" queryTableFieldId="4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9E8A-FD1C-4337-B39A-B6579727583B}">
  <dimension ref="A1:A2"/>
  <sheetViews>
    <sheetView workbookViewId="0">
      <selection activeCell="A2" sqref="A2"/>
    </sheetView>
  </sheetViews>
  <sheetFormatPr defaultRowHeight="15" x14ac:dyDescent="0.25"/>
  <cols>
    <col min="1" max="1" width="21.7109375" bestFit="1" customWidth="1"/>
  </cols>
  <sheetData>
    <row r="1" spans="1:1" x14ac:dyDescent="0.25">
      <c r="A1" t="s">
        <v>0</v>
      </c>
    </row>
    <row r="2" spans="1:1" x14ac:dyDescent="0.25">
      <c r="A2" s="2">
        <v>135445859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9975-6867-438C-90ED-ACB092647CC0}">
  <dimension ref="A1:B24"/>
  <sheetViews>
    <sheetView topLeftCell="A3" workbookViewId="0">
      <selection sqref="A1:B24"/>
    </sheetView>
  </sheetViews>
  <sheetFormatPr defaultRowHeight="15" x14ac:dyDescent="0.25"/>
  <cols>
    <col min="1" max="1" width="15.85546875" bestFit="1" customWidth="1"/>
    <col min="2" max="2" width="15" bestFit="1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s="1">
        <v>35247</v>
      </c>
      <c r="B2" s="2">
        <v>2786190</v>
      </c>
    </row>
    <row r="3" spans="1:2" x14ac:dyDescent="0.25">
      <c r="A3" s="1">
        <v>35278</v>
      </c>
      <c r="B3" s="2">
        <v>2548528</v>
      </c>
    </row>
    <row r="4" spans="1:2" x14ac:dyDescent="0.25">
      <c r="A4" s="1">
        <v>35309</v>
      </c>
      <c r="B4" s="2">
        <v>2638140</v>
      </c>
    </row>
    <row r="5" spans="1:2" x14ac:dyDescent="0.25">
      <c r="A5" s="1">
        <v>35339</v>
      </c>
      <c r="B5" s="2">
        <v>3751572</v>
      </c>
    </row>
    <row r="6" spans="1:2" x14ac:dyDescent="0.25">
      <c r="A6" s="1">
        <v>35370</v>
      </c>
      <c r="B6" s="2">
        <v>4560005</v>
      </c>
    </row>
    <row r="7" spans="1:2" x14ac:dyDescent="0.25">
      <c r="A7" s="1">
        <v>35400</v>
      </c>
      <c r="B7" s="2">
        <v>4523963</v>
      </c>
    </row>
    <row r="8" spans="1:2" x14ac:dyDescent="0.25">
      <c r="A8" s="1">
        <v>35431</v>
      </c>
      <c r="B8" s="2">
        <v>6125807</v>
      </c>
    </row>
    <row r="9" spans="1:2" x14ac:dyDescent="0.25">
      <c r="A9" s="1">
        <v>35462</v>
      </c>
      <c r="B9" s="2">
        <v>3848363</v>
      </c>
    </row>
    <row r="10" spans="1:2" x14ac:dyDescent="0.25">
      <c r="A10" s="1">
        <v>35490</v>
      </c>
      <c r="B10" s="2">
        <v>3854722</v>
      </c>
    </row>
    <row r="11" spans="1:2" x14ac:dyDescent="0.25">
      <c r="A11" s="1">
        <v>35521</v>
      </c>
      <c r="B11" s="2">
        <v>5303295</v>
      </c>
    </row>
    <row r="12" spans="1:2" x14ac:dyDescent="0.25">
      <c r="A12" s="1">
        <v>35551</v>
      </c>
      <c r="B12" s="2">
        <v>5378129</v>
      </c>
    </row>
    <row r="13" spans="1:2" x14ac:dyDescent="0.25">
      <c r="A13" s="1">
        <v>35582</v>
      </c>
      <c r="B13" s="2">
        <v>3636280</v>
      </c>
    </row>
    <row r="14" spans="1:2" x14ac:dyDescent="0.25">
      <c r="A14" s="1">
        <v>35612</v>
      </c>
      <c r="B14" s="2">
        <v>5102086</v>
      </c>
    </row>
    <row r="15" spans="1:2" x14ac:dyDescent="0.25">
      <c r="A15" s="1">
        <v>35643</v>
      </c>
      <c r="B15" s="2">
        <v>4728767</v>
      </c>
    </row>
    <row r="16" spans="1:2" x14ac:dyDescent="0.25">
      <c r="A16" s="1">
        <v>35674</v>
      </c>
      <c r="B16" s="2">
        <v>5562924</v>
      </c>
    </row>
    <row r="17" spans="1:2" x14ac:dyDescent="0.25">
      <c r="A17" s="1">
        <v>35704</v>
      </c>
      <c r="B17" s="2">
        <v>6674923</v>
      </c>
    </row>
    <row r="18" spans="1:2" x14ac:dyDescent="0.25">
      <c r="A18" s="1">
        <v>35735</v>
      </c>
      <c r="B18" s="2">
        <v>4353381</v>
      </c>
    </row>
    <row r="19" spans="1:2" x14ac:dyDescent="0.25">
      <c r="A19" s="1">
        <v>35765</v>
      </c>
      <c r="B19" s="2">
        <v>7139843</v>
      </c>
    </row>
    <row r="20" spans="1:2" x14ac:dyDescent="0.25">
      <c r="A20" s="1">
        <v>35796</v>
      </c>
      <c r="B20" s="2">
        <v>9422211</v>
      </c>
    </row>
    <row r="21" spans="1:2" x14ac:dyDescent="0.25">
      <c r="A21" s="1">
        <v>35827</v>
      </c>
      <c r="B21" s="2">
        <v>9941529</v>
      </c>
    </row>
    <row r="22" spans="1:2" x14ac:dyDescent="0.25">
      <c r="A22" s="1">
        <v>35855</v>
      </c>
      <c r="B22" s="2">
        <v>10485416</v>
      </c>
    </row>
    <row r="23" spans="1:2" x14ac:dyDescent="0.25">
      <c r="A23" s="1">
        <v>35886</v>
      </c>
      <c r="B23" s="2">
        <v>12379868</v>
      </c>
    </row>
    <row r="24" spans="1:2" x14ac:dyDescent="0.25">
      <c r="A24" s="1">
        <v>35916</v>
      </c>
      <c r="B24" s="2">
        <v>1833363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41C1-F9DB-4850-9948-4FB8940FAA31}">
  <dimension ref="A1:B11"/>
  <sheetViews>
    <sheetView workbookViewId="0"/>
  </sheetViews>
  <sheetFormatPr defaultRowHeight="15" x14ac:dyDescent="0.25"/>
  <cols>
    <col min="1" max="1" width="21.42578125" bestFit="1" customWidth="1"/>
    <col min="2" max="2" width="12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s="3" t="s">
        <v>5</v>
      </c>
      <c r="B2">
        <v>1577</v>
      </c>
    </row>
    <row r="3" spans="1:2" x14ac:dyDescent="0.25">
      <c r="A3" s="3" t="s">
        <v>6</v>
      </c>
      <c r="B3">
        <v>1496</v>
      </c>
    </row>
    <row r="4" spans="1:2" x14ac:dyDescent="0.25">
      <c r="A4" s="3" t="s">
        <v>7</v>
      </c>
      <c r="B4">
        <v>1397</v>
      </c>
    </row>
    <row r="5" spans="1:2" x14ac:dyDescent="0.25">
      <c r="A5" s="3" t="s">
        <v>8</v>
      </c>
      <c r="B5">
        <v>1263</v>
      </c>
    </row>
    <row r="6" spans="1:2" x14ac:dyDescent="0.25">
      <c r="A6" s="3" t="s">
        <v>9</v>
      </c>
      <c r="B6">
        <v>1158</v>
      </c>
    </row>
    <row r="7" spans="1:2" x14ac:dyDescent="0.25">
      <c r="A7" s="3" t="s">
        <v>10</v>
      </c>
      <c r="B7">
        <v>1155</v>
      </c>
    </row>
    <row r="8" spans="1:2" x14ac:dyDescent="0.25">
      <c r="A8" s="3" t="s">
        <v>11</v>
      </c>
      <c r="B8">
        <v>1125</v>
      </c>
    </row>
    <row r="9" spans="1:2" x14ac:dyDescent="0.25">
      <c r="A9" s="3" t="s">
        <v>12</v>
      </c>
      <c r="B9">
        <v>1103</v>
      </c>
    </row>
    <row r="10" spans="1:2" x14ac:dyDescent="0.25">
      <c r="A10" s="3" t="s">
        <v>13</v>
      </c>
      <c r="B10">
        <v>1083</v>
      </c>
    </row>
    <row r="11" spans="1:2" x14ac:dyDescent="0.25">
      <c r="A11" s="3" t="s">
        <v>14</v>
      </c>
      <c r="B11">
        <v>1057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7F21-963F-4067-8DCE-966E281A03AF}">
  <dimension ref="A1:A2"/>
  <sheetViews>
    <sheetView workbookViewId="0">
      <selection activeCell="A2" sqref="A2"/>
    </sheetView>
  </sheetViews>
  <sheetFormatPr defaultRowHeight="15" x14ac:dyDescent="0.25"/>
  <cols>
    <col min="1" max="1" width="25" bestFit="1" customWidth="1"/>
  </cols>
  <sheetData>
    <row r="1" spans="1:1" x14ac:dyDescent="0.25">
      <c r="A1" t="s">
        <v>15</v>
      </c>
    </row>
    <row r="2" spans="1:1" x14ac:dyDescent="0.25">
      <c r="A2" s="2">
        <v>7395334993171692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87A9-2F20-4C87-A645-E54E54C170F9}">
  <dimension ref="A1:C18"/>
  <sheetViews>
    <sheetView workbookViewId="0"/>
  </sheetViews>
  <sheetFormatPr defaultRowHeight="15" x14ac:dyDescent="0.25"/>
  <cols>
    <col min="1" max="1" width="28.42578125" bestFit="1" customWidth="1"/>
    <col min="2" max="2" width="16.140625" bestFit="1" customWidth="1"/>
    <col min="3" max="3" width="15.5703125" bestFit="1" customWidth="1"/>
  </cols>
  <sheetData>
    <row r="1" spans="1:3" x14ac:dyDescent="0.25">
      <c r="A1" t="s">
        <v>3</v>
      </c>
      <c r="B1" t="s">
        <v>16</v>
      </c>
      <c r="C1" t="s">
        <v>17</v>
      </c>
    </row>
    <row r="2" spans="1:3" x14ac:dyDescent="0.25">
      <c r="A2" s="3" t="s">
        <v>18</v>
      </c>
      <c r="B2">
        <v>13</v>
      </c>
      <c r="C2">
        <v>25</v>
      </c>
    </row>
    <row r="3" spans="1:3" x14ac:dyDescent="0.25">
      <c r="A3" s="3" t="s">
        <v>19</v>
      </c>
      <c r="B3">
        <v>22</v>
      </c>
      <c r="C3">
        <v>30</v>
      </c>
    </row>
    <row r="4" spans="1:3" x14ac:dyDescent="0.25">
      <c r="A4" s="3" t="s">
        <v>20</v>
      </c>
      <c r="B4">
        <v>3</v>
      </c>
      <c r="C4">
        <v>5</v>
      </c>
    </row>
    <row r="5" spans="1:3" x14ac:dyDescent="0.25">
      <c r="A5" s="3" t="s">
        <v>21</v>
      </c>
      <c r="B5">
        <v>10</v>
      </c>
      <c r="C5">
        <v>15</v>
      </c>
    </row>
    <row r="6" spans="1:3" x14ac:dyDescent="0.25">
      <c r="A6" s="3" t="s">
        <v>7</v>
      </c>
      <c r="B6">
        <v>0</v>
      </c>
      <c r="C6">
        <v>20</v>
      </c>
    </row>
    <row r="7" spans="1:3" x14ac:dyDescent="0.25">
      <c r="A7" s="3" t="s">
        <v>22</v>
      </c>
      <c r="B7">
        <v>9</v>
      </c>
      <c r="C7">
        <v>25</v>
      </c>
    </row>
    <row r="8" spans="1:3" x14ac:dyDescent="0.25">
      <c r="A8" s="3" t="s">
        <v>23</v>
      </c>
      <c r="B8">
        <v>11</v>
      </c>
      <c r="C8">
        <v>25</v>
      </c>
    </row>
    <row r="9" spans="1:3" x14ac:dyDescent="0.25">
      <c r="A9" s="3" t="s">
        <v>24</v>
      </c>
      <c r="B9">
        <v>17</v>
      </c>
      <c r="C9">
        <v>25</v>
      </c>
    </row>
    <row r="10" spans="1:3" x14ac:dyDescent="0.25">
      <c r="A10" s="3" t="s">
        <v>25</v>
      </c>
      <c r="B10">
        <v>5</v>
      </c>
      <c r="C10">
        <v>15</v>
      </c>
    </row>
    <row r="11" spans="1:3" x14ac:dyDescent="0.25">
      <c r="A11" s="3" t="s">
        <v>26</v>
      </c>
      <c r="B11">
        <v>15</v>
      </c>
      <c r="C11">
        <v>25</v>
      </c>
    </row>
    <row r="12" spans="1:3" x14ac:dyDescent="0.25">
      <c r="A12" s="3" t="s">
        <v>27</v>
      </c>
      <c r="B12">
        <v>10</v>
      </c>
      <c r="C12">
        <v>15</v>
      </c>
    </row>
    <row r="13" spans="1:3" x14ac:dyDescent="0.25">
      <c r="A13" s="3" t="s">
        <v>8</v>
      </c>
      <c r="B13">
        <v>21</v>
      </c>
      <c r="C13">
        <v>30</v>
      </c>
    </row>
    <row r="14" spans="1:3" x14ac:dyDescent="0.25">
      <c r="A14" s="3" t="s">
        <v>28</v>
      </c>
      <c r="B14">
        <v>22</v>
      </c>
      <c r="C14">
        <v>30</v>
      </c>
    </row>
    <row r="15" spans="1:3" x14ac:dyDescent="0.25">
      <c r="A15" s="3" t="s">
        <v>29</v>
      </c>
      <c r="B15">
        <v>4</v>
      </c>
      <c r="C15">
        <v>20</v>
      </c>
    </row>
    <row r="16" spans="1:3" x14ac:dyDescent="0.25">
      <c r="A16" s="3" t="s">
        <v>30</v>
      </c>
      <c r="B16">
        <v>6</v>
      </c>
      <c r="C16">
        <v>15</v>
      </c>
    </row>
    <row r="17" spans="1:3" x14ac:dyDescent="0.25">
      <c r="A17" s="3" t="s">
        <v>31</v>
      </c>
      <c r="B17">
        <v>15</v>
      </c>
      <c r="C17">
        <v>30</v>
      </c>
    </row>
    <row r="18" spans="1:3" x14ac:dyDescent="0.25">
      <c r="A18" s="3" t="s">
        <v>32</v>
      </c>
      <c r="B18">
        <v>4</v>
      </c>
      <c r="C18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FC11-464C-4B39-9658-16430165036E}">
  <dimension ref="A1:D73"/>
  <sheetViews>
    <sheetView topLeftCell="A52" workbookViewId="0">
      <selection activeCell="F1" sqref="F1"/>
    </sheetView>
  </sheetViews>
  <sheetFormatPr defaultRowHeight="15" x14ac:dyDescent="0.25"/>
  <cols>
    <col min="1" max="1" width="31.85546875" bestFit="1" customWidth="1"/>
    <col min="2" max="2" width="12.42578125" bestFit="1" customWidth="1"/>
    <col min="3" max="3" width="16.140625" bestFit="1" customWidth="1"/>
    <col min="4" max="4" width="16.28515625" bestFit="1" customWidth="1"/>
  </cols>
  <sheetData>
    <row r="1" spans="1:4" x14ac:dyDescent="0.25">
      <c r="A1" t="s">
        <v>3</v>
      </c>
      <c r="B1" t="s">
        <v>33</v>
      </c>
      <c r="C1" t="s">
        <v>16</v>
      </c>
      <c r="D1" s="4" t="s">
        <v>34</v>
      </c>
    </row>
    <row r="2" spans="1:4" x14ac:dyDescent="0.25">
      <c r="A2" s="3" t="s">
        <v>20</v>
      </c>
      <c r="B2">
        <v>1016</v>
      </c>
      <c r="C2">
        <v>3</v>
      </c>
      <c r="D2" s="5">
        <v>338.67</v>
      </c>
    </row>
    <row r="3" spans="1:4" x14ac:dyDescent="0.25">
      <c r="A3" s="3" t="s">
        <v>30</v>
      </c>
      <c r="B3">
        <v>799</v>
      </c>
      <c r="C3">
        <v>6</v>
      </c>
      <c r="D3" s="5">
        <v>133.16999999999999</v>
      </c>
    </row>
    <row r="4" spans="1:4" x14ac:dyDescent="0.25">
      <c r="A4" s="3" t="s">
        <v>25</v>
      </c>
      <c r="B4">
        <v>508</v>
      </c>
      <c r="C4">
        <v>5</v>
      </c>
      <c r="D4" s="5">
        <v>101.6</v>
      </c>
    </row>
    <row r="5" spans="1:4" x14ac:dyDescent="0.25">
      <c r="A5" s="3" t="s">
        <v>5</v>
      </c>
      <c r="B5">
        <v>1577</v>
      </c>
      <c r="C5">
        <v>19</v>
      </c>
      <c r="D5" s="5">
        <v>83</v>
      </c>
    </row>
    <row r="6" spans="1:4" x14ac:dyDescent="0.25">
      <c r="A6" s="3" t="s">
        <v>32</v>
      </c>
      <c r="B6">
        <v>297</v>
      </c>
      <c r="C6">
        <v>4</v>
      </c>
      <c r="D6" s="5">
        <v>74.25</v>
      </c>
    </row>
    <row r="7" spans="1:4" x14ac:dyDescent="0.25">
      <c r="A7" s="3" t="s">
        <v>13</v>
      </c>
      <c r="B7">
        <v>1083</v>
      </c>
      <c r="C7">
        <v>17</v>
      </c>
      <c r="D7" s="5">
        <v>63.71</v>
      </c>
    </row>
    <row r="8" spans="1:4" x14ac:dyDescent="0.25">
      <c r="A8" s="3" t="s">
        <v>35</v>
      </c>
      <c r="B8">
        <v>1057</v>
      </c>
      <c r="C8">
        <v>17</v>
      </c>
      <c r="D8" s="5">
        <v>62.18</v>
      </c>
    </row>
    <row r="9" spans="1:4" x14ac:dyDescent="0.25">
      <c r="A9" s="3" t="s">
        <v>36</v>
      </c>
      <c r="B9">
        <v>372</v>
      </c>
      <c r="C9">
        <v>6</v>
      </c>
      <c r="D9" s="5">
        <v>62</v>
      </c>
    </row>
    <row r="10" spans="1:4" x14ac:dyDescent="0.25">
      <c r="A10" s="3" t="s">
        <v>21</v>
      </c>
      <c r="B10">
        <v>612</v>
      </c>
      <c r="C10">
        <v>10</v>
      </c>
      <c r="D10" s="5">
        <v>61.2</v>
      </c>
    </row>
    <row r="11" spans="1:4" x14ac:dyDescent="0.25">
      <c r="A11" s="3" t="s">
        <v>8</v>
      </c>
      <c r="B11">
        <v>1263</v>
      </c>
      <c r="C11">
        <v>21</v>
      </c>
      <c r="D11" s="5">
        <v>60.14</v>
      </c>
    </row>
    <row r="12" spans="1:4" x14ac:dyDescent="0.25">
      <c r="A12" s="3" t="s">
        <v>29</v>
      </c>
      <c r="B12">
        <v>239</v>
      </c>
      <c r="C12">
        <v>4</v>
      </c>
      <c r="D12" s="5">
        <v>59.75</v>
      </c>
    </row>
    <row r="13" spans="1:4" x14ac:dyDescent="0.25">
      <c r="A13" s="3" t="s">
        <v>37</v>
      </c>
      <c r="B13">
        <v>806</v>
      </c>
      <c r="C13">
        <v>14</v>
      </c>
      <c r="D13" s="5">
        <v>57.57</v>
      </c>
    </row>
    <row r="14" spans="1:4" x14ac:dyDescent="0.25">
      <c r="A14" s="3" t="s">
        <v>11</v>
      </c>
      <c r="B14">
        <v>1125</v>
      </c>
      <c r="C14">
        <v>20</v>
      </c>
      <c r="D14" s="5">
        <v>56.25</v>
      </c>
    </row>
    <row r="15" spans="1:4" x14ac:dyDescent="0.25">
      <c r="A15" s="3" t="s">
        <v>31</v>
      </c>
      <c r="B15">
        <v>817</v>
      </c>
      <c r="C15">
        <v>15</v>
      </c>
      <c r="D15" s="5">
        <v>54.47</v>
      </c>
    </row>
    <row r="16" spans="1:4" x14ac:dyDescent="0.25">
      <c r="A16" s="3" t="s">
        <v>27</v>
      </c>
      <c r="B16">
        <v>520</v>
      </c>
      <c r="C16">
        <v>10</v>
      </c>
      <c r="D16" s="5">
        <v>52</v>
      </c>
    </row>
    <row r="17" spans="1:4" x14ac:dyDescent="0.25">
      <c r="A17" s="3" t="s">
        <v>38</v>
      </c>
      <c r="B17">
        <v>763</v>
      </c>
      <c r="C17">
        <v>15</v>
      </c>
      <c r="D17" s="5">
        <v>50.87</v>
      </c>
    </row>
    <row r="18" spans="1:4" x14ac:dyDescent="0.25">
      <c r="A18" s="3" t="s">
        <v>39</v>
      </c>
      <c r="B18">
        <v>753</v>
      </c>
      <c r="C18">
        <v>15</v>
      </c>
      <c r="D18" s="5">
        <v>50.2</v>
      </c>
    </row>
    <row r="19" spans="1:4" x14ac:dyDescent="0.25">
      <c r="A19" s="3" t="s">
        <v>40</v>
      </c>
      <c r="B19">
        <v>886</v>
      </c>
      <c r="C19">
        <v>20</v>
      </c>
      <c r="D19" s="5">
        <v>44.3</v>
      </c>
    </row>
    <row r="20" spans="1:4" x14ac:dyDescent="0.25">
      <c r="A20" s="3" t="s">
        <v>41</v>
      </c>
      <c r="B20">
        <v>883</v>
      </c>
      <c r="C20">
        <v>20</v>
      </c>
      <c r="D20" s="5">
        <v>44.15</v>
      </c>
    </row>
    <row r="21" spans="1:4" x14ac:dyDescent="0.25">
      <c r="A21" s="3" t="s">
        <v>14</v>
      </c>
      <c r="B21">
        <v>1057</v>
      </c>
      <c r="C21">
        <v>26</v>
      </c>
      <c r="D21" s="5">
        <v>40.65</v>
      </c>
    </row>
    <row r="22" spans="1:4" x14ac:dyDescent="0.25">
      <c r="A22" s="3" t="s">
        <v>9</v>
      </c>
      <c r="B22">
        <v>1158</v>
      </c>
      <c r="C22">
        <v>29</v>
      </c>
      <c r="D22" s="5">
        <v>39.93</v>
      </c>
    </row>
    <row r="23" spans="1:4" x14ac:dyDescent="0.25">
      <c r="A23" s="3" t="s">
        <v>42</v>
      </c>
      <c r="B23">
        <v>891</v>
      </c>
      <c r="C23">
        <v>24</v>
      </c>
      <c r="D23" s="5">
        <v>37.130000000000003</v>
      </c>
    </row>
    <row r="24" spans="1:4" x14ac:dyDescent="0.25">
      <c r="A24" s="3" t="s">
        <v>43</v>
      </c>
      <c r="B24">
        <v>623</v>
      </c>
      <c r="C24">
        <v>17</v>
      </c>
      <c r="D24" s="5">
        <v>36.65</v>
      </c>
    </row>
    <row r="25" spans="1:4" x14ac:dyDescent="0.25">
      <c r="A25" s="3" t="s">
        <v>44</v>
      </c>
      <c r="B25">
        <v>755</v>
      </c>
      <c r="C25">
        <v>21</v>
      </c>
      <c r="D25" s="5">
        <v>35.950000000000003</v>
      </c>
    </row>
    <row r="26" spans="1:4" x14ac:dyDescent="0.25">
      <c r="A26" s="3" t="s">
        <v>24</v>
      </c>
      <c r="B26">
        <v>580</v>
      </c>
      <c r="C26">
        <v>17</v>
      </c>
      <c r="D26" s="5">
        <v>34.119999999999997</v>
      </c>
    </row>
    <row r="27" spans="1:4" x14ac:dyDescent="0.25">
      <c r="A27" s="3" t="s">
        <v>28</v>
      </c>
      <c r="B27">
        <v>740</v>
      </c>
      <c r="C27">
        <v>22</v>
      </c>
      <c r="D27" s="5">
        <v>33.64</v>
      </c>
    </row>
    <row r="28" spans="1:4" x14ac:dyDescent="0.25">
      <c r="A28" s="3" t="s">
        <v>22</v>
      </c>
      <c r="B28">
        <v>297</v>
      </c>
      <c r="C28">
        <v>9</v>
      </c>
      <c r="D28" s="5">
        <v>33</v>
      </c>
    </row>
    <row r="29" spans="1:4" x14ac:dyDescent="0.25">
      <c r="A29" s="3" t="s">
        <v>19</v>
      </c>
      <c r="B29">
        <v>706</v>
      </c>
      <c r="C29">
        <v>22</v>
      </c>
      <c r="D29" s="5">
        <v>32.090000000000003</v>
      </c>
    </row>
    <row r="30" spans="1:4" x14ac:dyDescent="0.25">
      <c r="A30" s="3" t="s">
        <v>45</v>
      </c>
      <c r="B30">
        <v>723</v>
      </c>
      <c r="C30">
        <v>25</v>
      </c>
      <c r="D30" s="5">
        <v>28.92</v>
      </c>
    </row>
    <row r="31" spans="1:4" x14ac:dyDescent="0.25">
      <c r="A31" s="3" t="s">
        <v>46</v>
      </c>
      <c r="B31">
        <v>714</v>
      </c>
      <c r="C31">
        <v>26</v>
      </c>
      <c r="D31" s="5">
        <v>27.46</v>
      </c>
    </row>
    <row r="32" spans="1:4" x14ac:dyDescent="0.25">
      <c r="A32" s="3" t="s">
        <v>47</v>
      </c>
      <c r="B32">
        <v>697</v>
      </c>
      <c r="C32">
        <v>26</v>
      </c>
      <c r="D32" s="5">
        <v>26.81</v>
      </c>
    </row>
    <row r="33" spans="1:4" x14ac:dyDescent="0.25">
      <c r="A33" s="3" t="s">
        <v>18</v>
      </c>
      <c r="B33">
        <v>328</v>
      </c>
      <c r="C33">
        <v>13</v>
      </c>
      <c r="D33" s="5">
        <v>25.23</v>
      </c>
    </row>
    <row r="34" spans="1:4" x14ac:dyDescent="0.25">
      <c r="A34" s="3" t="s">
        <v>48</v>
      </c>
      <c r="B34">
        <v>791</v>
      </c>
      <c r="C34">
        <v>32</v>
      </c>
      <c r="D34" s="5">
        <v>24.72</v>
      </c>
    </row>
    <row r="35" spans="1:4" x14ac:dyDescent="0.25">
      <c r="A35" s="3" t="s">
        <v>49</v>
      </c>
      <c r="B35">
        <v>640</v>
      </c>
      <c r="C35">
        <v>26</v>
      </c>
      <c r="D35" s="5">
        <v>24.62</v>
      </c>
    </row>
    <row r="36" spans="1:4" x14ac:dyDescent="0.25">
      <c r="A36" s="3" t="s">
        <v>50</v>
      </c>
      <c r="B36">
        <v>742</v>
      </c>
      <c r="C36">
        <v>31</v>
      </c>
      <c r="D36" s="5">
        <v>23.94</v>
      </c>
    </row>
    <row r="37" spans="1:4" x14ac:dyDescent="0.25">
      <c r="A37" s="3" t="s">
        <v>51</v>
      </c>
      <c r="B37">
        <v>601</v>
      </c>
      <c r="C37">
        <v>27</v>
      </c>
      <c r="D37" s="5">
        <v>22.26</v>
      </c>
    </row>
    <row r="38" spans="1:4" x14ac:dyDescent="0.25">
      <c r="A38" s="3" t="s">
        <v>52</v>
      </c>
      <c r="B38">
        <v>828</v>
      </c>
      <c r="C38">
        <v>39</v>
      </c>
      <c r="D38" s="5">
        <v>21.23</v>
      </c>
    </row>
    <row r="39" spans="1:4" x14ac:dyDescent="0.25">
      <c r="A39" s="3" t="s">
        <v>6</v>
      </c>
      <c r="B39">
        <v>1496</v>
      </c>
      <c r="C39">
        <v>79</v>
      </c>
      <c r="D39" s="5">
        <v>18.940000000000001</v>
      </c>
    </row>
    <row r="40" spans="1:4" x14ac:dyDescent="0.25">
      <c r="A40" s="3" t="s">
        <v>53</v>
      </c>
      <c r="B40">
        <v>445</v>
      </c>
      <c r="C40">
        <v>24</v>
      </c>
      <c r="D40" s="5">
        <v>18.54</v>
      </c>
    </row>
    <row r="41" spans="1:4" x14ac:dyDescent="0.25">
      <c r="A41" s="3" t="s">
        <v>54</v>
      </c>
      <c r="B41">
        <v>981</v>
      </c>
      <c r="C41">
        <v>57</v>
      </c>
      <c r="D41" s="5">
        <v>17.21</v>
      </c>
    </row>
    <row r="42" spans="1:4" x14ac:dyDescent="0.25">
      <c r="A42" s="3" t="s">
        <v>55</v>
      </c>
      <c r="B42">
        <v>485</v>
      </c>
      <c r="C42">
        <v>36</v>
      </c>
      <c r="D42" s="5">
        <v>13.47</v>
      </c>
    </row>
    <row r="43" spans="1:4" x14ac:dyDescent="0.25">
      <c r="A43" s="3" t="s">
        <v>56</v>
      </c>
      <c r="B43">
        <v>500</v>
      </c>
      <c r="C43">
        <v>38</v>
      </c>
      <c r="D43" s="5">
        <v>13.16</v>
      </c>
    </row>
    <row r="44" spans="1:4" x14ac:dyDescent="0.25">
      <c r="A44" s="3" t="s">
        <v>57</v>
      </c>
      <c r="B44">
        <v>539</v>
      </c>
      <c r="C44">
        <v>42</v>
      </c>
      <c r="D44" s="5">
        <v>12.83</v>
      </c>
    </row>
    <row r="45" spans="1:4" x14ac:dyDescent="0.25">
      <c r="A45" s="3" t="s">
        <v>58</v>
      </c>
      <c r="B45">
        <v>434</v>
      </c>
      <c r="C45">
        <v>36</v>
      </c>
      <c r="D45" s="5">
        <v>12.06</v>
      </c>
    </row>
    <row r="46" spans="1:4" x14ac:dyDescent="0.25">
      <c r="A46" s="3" t="s">
        <v>59</v>
      </c>
      <c r="B46">
        <v>404</v>
      </c>
      <c r="C46">
        <v>35</v>
      </c>
      <c r="D46" s="5">
        <v>11.54</v>
      </c>
    </row>
    <row r="47" spans="1:4" x14ac:dyDescent="0.25">
      <c r="A47" s="3" t="s">
        <v>60</v>
      </c>
      <c r="B47">
        <v>981</v>
      </c>
      <c r="C47">
        <v>85</v>
      </c>
      <c r="D47" s="5">
        <v>11.54</v>
      </c>
    </row>
    <row r="48" spans="1:4" x14ac:dyDescent="0.25">
      <c r="A48" s="3" t="s">
        <v>61</v>
      </c>
      <c r="B48">
        <v>793</v>
      </c>
      <c r="C48">
        <v>69</v>
      </c>
      <c r="D48" s="5">
        <v>11.49</v>
      </c>
    </row>
    <row r="49" spans="1:4" x14ac:dyDescent="0.25">
      <c r="A49" s="3" t="s">
        <v>23</v>
      </c>
      <c r="B49">
        <v>125</v>
      </c>
      <c r="C49">
        <v>11</v>
      </c>
      <c r="D49" s="5">
        <v>11.36</v>
      </c>
    </row>
    <row r="50" spans="1:4" x14ac:dyDescent="0.25">
      <c r="A50" s="3" t="s">
        <v>62</v>
      </c>
      <c r="B50">
        <v>745</v>
      </c>
      <c r="C50">
        <v>76</v>
      </c>
      <c r="D50" s="5">
        <v>9.8000000000000007</v>
      </c>
    </row>
    <row r="51" spans="1:4" x14ac:dyDescent="0.25">
      <c r="A51" s="3" t="s">
        <v>63</v>
      </c>
      <c r="B51">
        <v>580</v>
      </c>
      <c r="C51">
        <v>61</v>
      </c>
      <c r="D51" s="5">
        <v>9.51</v>
      </c>
    </row>
    <row r="52" spans="1:4" x14ac:dyDescent="0.25">
      <c r="A52" s="3" t="s">
        <v>10</v>
      </c>
      <c r="B52">
        <v>1155</v>
      </c>
      <c r="C52">
        <v>125</v>
      </c>
      <c r="D52" s="5">
        <v>9.24</v>
      </c>
    </row>
    <row r="53" spans="1:4" x14ac:dyDescent="0.25">
      <c r="A53" s="3" t="s">
        <v>26</v>
      </c>
      <c r="B53">
        <v>138</v>
      </c>
      <c r="C53">
        <v>15</v>
      </c>
      <c r="D53" s="5">
        <v>9.1999999999999993</v>
      </c>
    </row>
    <row r="54" spans="1:4" x14ac:dyDescent="0.25">
      <c r="A54" s="3" t="s">
        <v>12</v>
      </c>
      <c r="B54">
        <v>1103</v>
      </c>
      <c r="C54">
        <v>123</v>
      </c>
      <c r="D54" s="5">
        <v>8.9700000000000006</v>
      </c>
    </row>
    <row r="55" spans="1:4" x14ac:dyDescent="0.25">
      <c r="A55" s="3" t="s">
        <v>64</v>
      </c>
      <c r="B55">
        <v>534</v>
      </c>
      <c r="C55">
        <v>62</v>
      </c>
      <c r="D55" s="5">
        <v>8.61</v>
      </c>
    </row>
    <row r="56" spans="1:4" x14ac:dyDescent="0.25">
      <c r="A56" s="3" t="s">
        <v>65</v>
      </c>
      <c r="B56">
        <v>453</v>
      </c>
      <c r="C56">
        <v>53</v>
      </c>
      <c r="D56" s="5">
        <v>8.5500000000000007</v>
      </c>
    </row>
    <row r="57" spans="1:4" x14ac:dyDescent="0.25">
      <c r="A57" s="3" t="s">
        <v>66</v>
      </c>
      <c r="B57">
        <v>903</v>
      </c>
      <c r="C57">
        <v>115</v>
      </c>
      <c r="D57" s="5">
        <v>7.85</v>
      </c>
    </row>
    <row r="58" spans="1:4" x14ac:dyDescent="0.25">
      <c r="A58" s="3" t="s">
        <v>67</v>
      </c>
      <c r="B58">
        <v>313</v>
      </c>
      <c r="C58">
        <v>40</v>
      </c>
      <c r="D58" s="5">
        <v>7.83</v>
      </c>
    </row>
    <row r="59" spans="1:4" x14ac:dyDescent="0.25">
      <c r="A59" s="3" t="s">
        <v>68</v>
      </c>
      <c r="B59">
        <v>365</v>
      </c>
      <c r="C59">
        <v>49</v>
      </c>
      <c r="D59" s="5">
        <v>7.45</v>
      </c>
    </row>
    <row r="60" spans="1:4" x14ac:dyDescent="0.25">
      <c r="A60" s="3" t="s">
        <v>69</v>
      </c>
      <c r="B60">
        <v>805</v>
      </c>
      <c r="C60">
        <v>112</v>
      </c>
      <c r="D60" s="5">
        <v>7.19</v>
      </c>
    </row>
    <row r="61" spans="1:4" x14ac:dyDescent="0.25">
      <c r="A61" s="3" t="s">
        <v>70</v>
      </c>
      <c r="B61">
        <v>755</v>
      </c>
      <c r="C61">
        <v>112</v>
      </c>
      <c r="D61" s="5">
        <v>6.74</v>
      </c>
    </row>
    <row r="62" spans="1:4" x14ac:dyDescent="0.25">
      <c r="A62" s="3" t="s">
        <v>71</v>
      </c>
      <c r="B62">
        <v>548</v>
      </c>
      <c r="C62">
        <v>95</v>
      </c>
      <c r="D62" s="5">
        <v>5.77</v>
      </c>
    </row>
    <row r="63" spans="1:4" x14ac:dyDescent="0.25">
      <c r="A63" s="3" t="s">
        <v>72</v>
      </c>
      <c r="B63">
        <v>603</v>
      </c>
      <c r="C63">
        <v>113</v>
      </c>
      <c r="D63" s="5">
        <v>5.34</v>
      </c>
    </row>
    <row r="64" spans="1:4" x14ac:dyDescent="0.25">
      <c r="A64" s="3" t="s">
        <v>73</v>
      </c>
      <c r="B64">
        <v>506</v>
      </c>
      <c r="C64">
        <v>111</v>
      </c>
      <c r="D64" s="5">
        <v>4.5599999999999996</v>
      </c>
    </row>
    <row r="65" spans="1:4" x14ac:dyDescent="0.25">
      <c r="A65" s="3" t="s">
        <v>74</v>
      </c>
      <c r="B65">
        <v>318</v>
      </c>
      <c r="C65">
        <v>76</v>
      </c>
      <c r="D65" s="5">
        <v>4.18</v>
      </c>
    </row>
    <row r="66" spans="1:4" x14ac:dyDescent="0.25">
      <c r="A66" s="3" t="s">
        <v>75</v>
      </c>
      <c r="B66">
        <v>344</v>
      </c>
      <c r="C66">
        <v>86</v>
      </c>
      <c r="D66" s="5">
        <v>4</v>
      </c>
    </row>
    <row r="67" spans="1:4" x14ac:dyDescent="0.25">
      <c r="A67" s="3" t="s">
        <v>76</v>
      </c>
      <c r="B67">
        <v>235</v>
      </c>
      <c r="C67">
        <v>65</v>
      </c>
      <c r="D67" s="5">
        <v>3.62</v>
      </c>
    </row>
    <row r="68" spans="1:4" x14ac:dyDescent="0.25">
      <c r="A68" s="3" t="s">
        <v>77</v>
      </c>
      <c r="B68">
        <v>184</v>
      </c>
      <c r="C68">
        <v>52</v>
      </c>
      <c r="D68" s="5">
        <v>3.54</v>
      </c>
    </row>
    <row r="69" spans="1:4" x14ac:dyDescent="0.25">
      <c r="A69" s="3" t="s">
        <v>78</v>
      </c>
      <c r="B69">
        <v>348</v>
      </c>
      <c r="C69">
        <v>104</v>
      </c>
      <c r="D69" s="5">
        <v>3.35</v>
      </c>
    </row>
    <row r="70" spans="1:4" x14ac:dyDescent="0.25">
      <c r="A70" s="3" t="s">
        <v>79</v>
      </c>
      <c r="B70">
        <v>95</v>
      </c>
      <c r="C70">
        <v>29</v>
      </c>
      <c r="D70" s="5">
        <v>3.28</v>
      </c>
    </row>
    <row r="71" spans="1:4" x14ac:dyDescent="0.25">
      <c r="A71" s="3" t="s">
        <v>80</v>
      </c>
      <c r="B71">
        <v>122</v>
      </c>
      <c r="C71">
        <v>39</v>
      </c>
      <c r="D71" s="5">
        <v>3.13</v>
      </c>
    </row>
    <row r="72" spans="1:4" x14ac:dyDescent="0.25">
      <c r="A72" s="3" t="s">
        <v>81</v>
      </c>
      <c r="B72">
        <v>293</v>
      </c>
      <c r="C72">
        <v>101</v>
      </c>
      <c r="D72" s="5">
        <v>2.9</v>
      </c>
    </row>
    <row r="73" spans="1:4" x14ac:dyDescent="0.25">
      <c r="A73" s="3" t="s">
        <v>82</v>
      </c>
      <c r="B73">
        <v>301</v>
      </c>
      <c r="C73">
        <v>120</v>
      </c>
      <c r="D73" s="5">
        <v>2.5099999999999998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436-0130-4DA2-9FEA-185703679F4F}">
  <dimension ref="B2:P28"/>
  <sheetViews>
    <sheetView topLeftCell="G1" workbookViewId="0">
      <selection activeCell="N2" sqref="N2:P75"/>
    </sheetView>
  </sheetViews>
  <sheetFormatPr defaultRowHeight="15" x14ac:dyDescent="0.25"/>
  <cols>
    <col min="2" max="2" width="21.42578125" bestFit="1" customWidth="1"/>
    <col min="3" max="3" width="16.5703125" bestFit="1" customWidth="1"/>
    <col min="14" max="14" width="27.28515625" bestFit="1" customWidth="1"/>
    <col min="15" max="15" width="20.5703125" bestFit="1" customWidth="1"/>
    <col min="16" max="16" width="20.7109375" bestFit="1" customWidth="1"/>
  </cols>
  <sheetData>
    <row r="2" spans="2:16" x14ac:dyDescent="0.25">
      <c r="B2" s="6" t="s">
        <v>83</v>
      </c>
      <c r="C2" t="s">
        <v>88</v>
      </c>
      <c r="N2" s="6" t="s">
        <v>83</v>
      </c>
      <c r="O2" t="s">
        <v>90</v>
      </c>
      <c r="P2" t="s">
        <v>91</v>
      </c>
    </row>
    <row r="3" spans="2:16" x14ac:dyDescent="0.25">
      <c r="B3" s="7" t="s">
        <v>85</v>
      </c>
      <c r="C3" s="2">
        <v>20808398</v>
      </c>
      <c r="N3" s="7" t="s">
        <v>8</v>
      </c>
      <c r="O3" s="3">
        <v>21</v>
      </c>
      <c r="P3" s="8">
        <v>60.14</v>
      </c>
    </row>
    <row r="4" spans="2:16" x14ac:dyDescent="0.25">
      <c r="B4" s="7" t="s">
        <v>86</v>
      </c>
      <c r="C4" s="2">
        <v>61708520</v>
      </c>
      <c r="N4" s="7" t="s">
        <v>21</v>
      </c>
      <c r="O4" s="3">
        <v>10</v>
      </c>
      <c r="P4" s="8">
        <v>61.2</v>
      </c>
    </row>
    <row r="5" spans="2:16" x14ac:dyDescent="0.25">
      <c r="B5" s="7" t="s">
        <v>87</v>
      </c>
      <c r="C5" s="2">
        <v>44062387</v>
      </c>
      <c r="N5" s="7" t="s">
        <v>36</v>
      </c>
      <c r="O5" s="3">
        <v>6</v>
      </c>
      <c r="P5" s="8">
        <v>62</v>
      </c>
    </row>
    <row r="6" spans="2:16" x14ac:dyDescent="0.25">
      <c r="B6" s="7" t="s">
        <v>84</v>
      </c>
      <c r="C6" s="2">
        <v>126579305</v>
      </c>
      <c r="N6" s="7" t="s">
        <v>35</v>
      </c>
      <c r="O6" s="3">
        <v>17</v>
      </c>
      <c r="P6" s="8">
        <v>62.18</v>
      </c>
    </row>
    <row r="7" spans="2:16" x14ac:dyDescent="0.25">
      <c r="N7" s="7" t="s">
        <v>13</v>
      </c>
      <c r="O7" s="3">
        <v>17</v>
      </c>
      <c r="P7" s="8">
        <v>63.71</v>
      </c>
    </row>
    <row r="8" spans="2:16" x14ac:dyDescent="0.25">
      <c r="N8" s="7" t="s">
        <v>32</v>
      </c>
      <c r="O8" s="3">
        <v>4</v>
      </c>
      <c r="P8" s="8">
        <v>74.25</v>
      </c>
    </row>
    <row r="9" spans="2:16" x14ac:dyDescent="0.25">
      <c r="N9" s="7" t="s">
        <v>5</v>
      </c>
      <c r="O9" s="3">
        <v>19</v>
      </c>
      <c r="P9" s="8">
        <v>83</v>
      </c>
    </row>
    <row r="10" spans="2:16" x14ac:dyDescent="0.25">
      <c r="N10" s="7" t="s">
        <v>25</v>
      </c>
      <c r="O10" s="3">
        <v>5</v>
      </c>
      <c r="P10" s="8">
        <v>101.6</v>
      </c>
    </row>
    <row r="11" spans="2:16" x14ac:dyDescent="0.25">
      <c r="N11" s="7" t="s">
        <v>30</v>
      </c>
      <c r="O11" s="3">
        <v>6</v>
      </c>
      <c r="P11" s="8">
        <v>133.16999999999999</v>
      </c>
    </row>
    <row r="12" spans="2:16" x14ac:dyDescent="0.25">
      <c r="N12" s="7" t="s">
        <v>20</v>
      </c>
      <c r="O12" s="3">
        <v>3</v>
      </c>
      <c r="P12" s="8">
        <v>338.67</v>
      </c>
    </row>
    <row r="13" spans="2:16" x14ac:dyDescent="0.25">
      <c r="N13" s="7" t="s">
        <v>84</v>
      </c>
      <c r="O13" s="3">
        <v>108</v>
      </c>
      <c r="P13" s="8">
        <v>1039.92</v>
      </c>
    </row>
    <row r="17" spans="2:3" x14ac:dyDescent="0.25">
      <c r="B17" s="6" t="s">
        <v>83</v>
      </c>
      <c r="C17" t="s">
        <v>89</v>
      </c>
    </row>
    <row r="18" spans="2:3" x14ac:dyDescent="0.25">
      <c r="B18" s="7" t="s">
        <v>14</v>
      </c>
      <c r="C18" s="3">
        <v>1057</v>
      </c>
    </row>
    <row r="19" spans="2:3" x14ac:dyDescent="0.25">
      <c r="B19" s="7" t="s">
        <v>13</v>
      </c>
      <c r="C19" s="3">
        <v>1083</v>
      </c>
    </row>
    <row r="20" spans="2:3" x14ac:dyDescent="0.25">
      <c r="B20" s="7" t="s">
        <v>12</v>
      </c>
      <c r="C20" s="3">
        <v>1103</v>
      </c>
    </row>
    <row r="21" spans="2:3" x14ac:dyDescent="0.25">
      <c r="B21" s="7" t="s">
        <v>11</v>
      </c>
      <c r="C21" s="3">
        <v>1125</v>
      </c>
    </row>
    <row r="22" spans="2:3" x14ac:dyDescent="0.25">
      <c r="B22" s="7" t="s">
        <v>10</v>
      </c>
      <c r="C22" s="3">
        <v>1155</v>
      </c>
    </row>
    <row r="23" spans="2:3" x14ac:dyDescent="0.25">
      <c r="B23" s="7" t="s">
        <v>9</v>
      </c>
      <c r="C23" s="3">
        <v>1158</v>
      </c>
    </row>
    <row r="24" spans="2:3" x14ac:dyDescent="0.25">
      <c r="B24" s="7" t="s">
        <v>8</v>
      </c>
      <c r="C24" s="3">
        <v>1263</v>
      </c>
    </row>
    <row r="25" spans="2:3" x14ac:dyDescent="0.25">
      <c r="B25" s="7" t="s">
        <v>7</v>
      </c>
      <c r="C25" s="3">
        <v>1397</v>
      </c>
    </row>
    <row r="26" spans="2:3" x14ac:dyDescent="0.25">
      <c r="B26" s="7" t="s">
        <v>6</v>
      </c>
      <c r="C26" s="3">
        <v>1496</v>
      </c>
    </row>
    <row r="27" spans="2:3" x14ac:dyDescent="0.25">
      <c r="B27" s="7" t="s">
        <v>5</v>
      </c>
      <c r="C27" s="3">
        <v>1577</v>
      </c>
    </row>
    <row r="28" spans="2:3" x14ac:dyDescent="0.25">
      <c r="B28" s="7" t="s">
        <v>84</v>
      </c>
      <c r="C28" s="3">
        <v>12414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F7FF-3E23-46E7-977F-540621AABA9B}">
  <dimension ref="A1:I50"/>
  <sheetViews>
    <sheetView showGridLines="0" tabSelected="1" view="pageBreakPreview" topLeftCell="A31" zoomScaleNormal="40" zoomScaleSheetLayoutView="100" workbookViewId="0">
      <selection activeCell="J3" sqref="J3"/>
    </sheetView>
  </sheetViews>
  <sheetFormatPr defaultRowHeight="15" x14ac:dyDescent="0.25"/>
  <sheetData>
    <row r="1" spans="1: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x14ac:dyDescent="0.25">
      <c r="A3" s="9"/>
      <c r="B3" s="9"/>
      <c r="C3" s="9"/>
      <c r="D3" s="9"/>
      <c r="E3" s="9"/>
      <c r="F3" s="9"/>
      <c r="G3" s="9"/>
      <c r="H3" s="9"/>
      <c r="I3" s="9"/>
    </row>
    <row r="4" spans="1:9" x14ac:dyDescent="0.25">
      <c r="A4" s="9"/>
      <c r="B4" s="9"/>
      <c r="C4" s="9"/>
      <c r="D4" s="9"/>
      <c r="E4" s="9"/>
      <c r="F4" s="9"/>
      <c r="G4" s="9"/>
      <c r="H4" s="9"/>
      <c r="I4" s="9"/>
    </row>
    <row r="5" spans="1:9" x14ac:dyDescent="0.25">
      <c r="A5" s="9"/>
      <c r="B5" s="9"/>
      <c r="C5" s="9"/>
      <c r="D5" s="9"/>
      <c r="E5" s="9"/>
      <c r="F5" s="9"/>
      <c r="G5" s="9"/>
      <c r="H5" s="9"/>
      <c r="I5" s="9"/>
    </row>
    <row r="6" spans="1:9" x14ac:dyDescent="0.25">
      <c r="A6" s="9"/>
      <c r="B6" s="9"/>
      <c r="C6" s="9"/>
      <c r="D6" s="9"/>
      <c r="E6" s="9"/>
      <c r="F6" s="9"/>
      <c r="G6" s="9"/>
      <c r="H6" s="9"/>
      <c r="I6" s="9"/>
    </row>
    <row r="7" spans="1:9" x14ac:dyDescent="0.25">
      <c r="A7" s="9"/>
      <c r="B7" s="9"/>
      <c r="C7" s="9"/>
      <c r="D7" s="9"/>
      <c r="E7" s="9"/>
      <c r="F7" s="9"/>
      <c r="G7" s="9"/>
      <c r="H7" s="9"/>
      <c r="I7" s="9"/>
    </row>
    <row r="8" spans="1:9" x14ac:dyDescent="0.25">
      <c r="A8" s="9"/>
      <c r="B8" s="9"/>
      <c r="C8" s="9"/>
      <c r="D8" s="9"/>
      <c r="E8" s="9"/>
      <c r="F8" s="9"/>
      <c r="G8" s="9"/>
      <c r="H8" s="9"/>
      <c r="I8" s="9"/>
    </row>
    <row r="9" spans="1:9" x14ac:dyDescent="0.25">
      <c r="A9" s="9"/>
      <c r="B9" s="9"/>
      <c r="C9" s="9"/>
      <c r="D9" s="9"/>
      <c r="E9" s="9"/>
      <c r="F9" s="9"/>
      <c r="G9" s="9"/>
      <c r="H9" s="9"/>
      <c r="I9" s="9"/>
    </row>
    <row r="10" spans="1:9" x14ac:dyDescent="0.25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5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5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5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9"/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9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9"/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9"/>
      <c r="B36" s="9"/>
      <c r="C36" s="9"/>
      <c r="D36" s="9"/>
      <c r="E36" s="9"/>
      <c r="F36" s="9"/>
      <c r="G36" s="9"/>
      <c r="H36" s="9"/>
      <c r="I36" s="9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9"/>
      <c r="C41" s="9"/>
      <c r="D41" s="9"/>
      <c r="E41" s="9"/>
      <c r="F41" s="9"/>
      <c r="G41" s="9"/>
      <c r="H41" s="9"/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9"/>
      <c r="C43" s="9"/>
      <c r="D43" s="9"/>
      <c r="E43" s="9"/>
      <c r="F43" s="9"/>
      <c r="G43" s="9"/>
      <c r="H43" s="9"/>
      <c r="I43" s="9"/>
    </row>
    <row r="44" spans="1:9" x14ac:dyDescent="0.25">
      <c r="A44" s="9"/>
      <c r="B44" s="9"/>
      <c r="C44" s="9"/>
      <c r="D44" s="9"/>
      <c r="E44" s="9"/>
      <c r="F44" s="9"/>
      <c r="G44" s="9"/>
      <c r="H44" s="9"/>
      <c r="I44" s="9"/>
    </row>
    <row r="45" spans="1:9" x14ac:dyDescent="0.25">
      <c r="A45" s="9"/>
      <c r="B45" s="9"/>
      <c r="C45" s="9"/>
      <c r="D45" s="9"/>
      <c r="E45" s="9"/>
      <c r="F45" s="9"/>
      <c r="G45" s="9"/>
      <c r="H45" s="9"/>
      <c r="I45" s="9"/>
    </row>
    <row r="46" spans="1:9" x14ac:dyDescent="0.25">
      <c r="A46" s="9"/>
      <c r="B46" s="9"/>
      <c r="C46" s="9"/>
      <c r="D46" s="9"/>
      <c r="E46" s="9"/>
      <c r="F46" s="9"/>
      <c r="G46" s="9"/>
      <c r="H46" s="9"/>
      <c r="I46" s="9"/>
    </row>
    <row r="47" spans="1:9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25">
      <c r="A48" s="9"/>
      <c r="B48" s="9"/>
      <c r="C48" s="9"/>
      <c r="D48" s="9"/>
      <c r="E48" s="9"/>
      <c r="F48" s="9"/>
      <c r="G48" s="9"/>
      <c r="H48" s="9"/>
      <c r="I48" s="9"/>
    </row>
    <row r="49" spans="1:9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25">
      <c r="A50" s="9"/>
      <c r="B50" s="9"/>
      <c r="C50" s="9"/>
      <c r="D50" s="9"/>
      <c r="E50" s="9"/>
      <c r="F50" s="9"/>
      <c r="G50" s="9"/>
      <c r="H50" s="9"/>
      <c r="I50" s="9"/>
    </row>
  </sheetData>
  <mergeCells count="1">
    <mergeCell ref="A1:I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A18E1-601E-4E21-B249-27184DC1D4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Gross Revenue</vt:lpstr>
      <vt:lpstr>Monthly Sales Trend</vt:lpstr>
      <vt:lpstr>Top Selling Products</vt:lpstr>
      <vt:lpstr>Inventory Value</vt:lpstr>
      <vt:lpstr>Reorder Alert</vt:lpstr>
      <vt:lpstr>Inventory Turnover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miftahurrohman</dc:creator>
  <cp:lastModifiedBy>fikri miftahurrohman</cp:lastModifiedBy>
  <cp:lastPrinted>2026-03-31T09:21:20Z</cp:lastPrinted>
  <dcterms:created xsi:type="dcterms:W3CDTF">2026-03-31T08:36:26Z</dcterms:created>
  <dcterms:modified xsi:type="dcterms:W3CDTF">2026-03-31T09:21:25Z</dcterms:modified>
</cp:coreProperties>
</file>